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Supuestos" sheetId="2" state="visible" r:id="rId4"/>
    <sheet name="Flujo Pesimista" sheetId="3" state="visible" r:id="rId5"/>
    <sheet name="Flujo Realista" sheetId="4" state="visible" r:id="rId6"/>
    <sheet name="Flujo Optimista" sheetId="5" state="visible" r:id="rId7"/>
    <sheet name="Escenarios" sheetId="6" state="visible" r:id="rId8"/>
    <sheet name="Pronóstico oferta" sheetId="7" state="visible" r:id="rId9"/>
    <sheet name="Modelo ENUT" sheetId="8" state="visible" r:id="rId10"/>
    <sheet name="Riesgo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0" authorId="0">
      <text>
        <r>
          <rPr>
            <sz val="10"/>
            <rFont val="Arial"/>
            <family val="2"/>
          </rPr>
          <t xml:space="preserve">Curso de 40 horas, constancia de antecedentes y kit inicial.</t>
        </r>
      </text>
    </comment>
    <comment ref="C25" authorId="0">
      <text>
        <r>
          <rPr>
            <sz val="10"/>
            <rFont val="Arial"/>
            <family val="2"/>
          </rPr>
          <t xml:space="preserve">$22,000 brutos al mes × 1.35.</t>
        </r>
      </text>
    </comment>
    <comment ref="C26" authorId="0">
      <text>
        <r>
          <rPr>
            <sz val="10"/>
            <rFont val="Arial"/>
            <family val="2"/>
          </rPr>
          <t xml:space="preserve">$18,000 brutos al mes × 1.35. Se agrega una por cada bloque de 80 familias.</t>
        </r>
      </text>
    </comment>
    <comment ref="C31" authorId="0">
      <text>
        <r>
          <rPr>
            <sz val="10"/>
            <rFont val="Arial"/>
            <family val="2"/>
          </rPr>
          <t xml:space="preserve">Valor de mercado de adaptar el prototipo del equipo (seguridad, perfiles, bitácora).</t>
        </r>
      </text>
    </comment>
    <comment ref="C37" authorId="0">
      <text>
        <r>
          <rPr>
            <sz val="10"/>
            <rFont val="Arial"/>
            <family val="2"/>
          </rPr>
          <t xml:space="preserve">Si en este mes hay menos familias que el umbral, el programa se cierra.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2" authorId="0">
      <text>
        <r>
          <rPr>
            <sz val="10"/>
            <rFont val="Arial"/>
            <family val="2"/>
          </rPr>
          <t xml:space="preserve">Calculado por bisección en el notebook 03 con backend/observatorio/factibilidad.py; no se recalcula aquí.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8" authorId="0">
      <text>
        <r>
          <rPr>
            <sz val="10"/>
            <rFont val="Arial"/>
            <family val="2"/>
          </rPr>
          <t xml:space="preserve">ENUT CDMX observada ÷ predicción con los totales del Censo de la CDMX.</t>
        </r>
      </text>
    </comment>
  </commentList>
</comments>
</file>

<file path=xl/sharedStrings.xml><?xml version="1.0" encoding="utf-8"?>
<sst xmlns="http://schemas.openxmlformats.org/spreadsheetml/2006/main" count="601" uniqueCount="310">
  <si>
    <t xml:space="preserve">Anexo A — Cálculos del trabajo integrador (Analítica para Negocios, PP7, UNRC)</t>
  </si>
  <si>
    <t xml:space="preserve">Observatorio de la Economía del Cuidado — CDMX. Programa evaluado: Red de Cuidado a Domicilio «Manos que Cuidan» (escenario simulado).</t>
  </si>
  <si>
    <t xml:space="preserve">Hojas:</t>
  </si>
  <si>
    <t xml:space="preserve">  Supuestos — todos los supuestos con su fuente. Cambia las celdas azules; las amarillas son las variables por escenario.</t>
  </si>
  <si>
    <t xml:space="preserve">  Flujo Pesimista / Realista / Optimista — flujo mensual de 60 meses e indicadores (VAN, TIR, payback, punto de equilibrio, capital).</t>
  </si>
  <si>
    <t xml:space="preserve">  Escenarios — tabla comparativa y valor esperado del VAN.</t>
  </si>
  <si>
    <t xml:space="preserve">  Pronóstico oferta — serie semestral del DENUE 2016-2026, backtesting e intervalos del pronóstico.</t>
  </si>
  <si>
    <t xml:space="preserve">  Modelo ENUT — coeficientes, calculadora por AGEB y métricas de validación del modelo de horas de cuidado.</t>
  </si>
  <si>
    <t xml:space="preserve">  Riesgos — matriz de riesgos con mitigación.</t>
  </si>
  <si>
    <t xml:space="preserve">Colores: azul = dato o supuesto editable · negro = fórmula · verde = vínculo a otra hoja · relleno amarillo = supuesto clave.</t>
  </si>
  <si>
    <t xml:space="preserve">Unidades: pesos constantes de 2026; tasas reales. Negativos entre paréntesis.</t>
  </si>
  <si>
    <t xml:space="preserve">Se genera con notebooks/anexo_excel.py desde el notebook 03; las reglas son las de backend/observatorio/factibilidad.py.</t>
  </si>
  <si>
    <t xml:space="preserve">Fuentes principales: INEGI (DENUE 2016-2026, Censo 2020, ENUT 2024, ENASIC 2022); SHCP, Unidad de Inversiones (2022), tasa social</t>
  </si>
  <si>
    <t xml:space="preserve">de descuento; CONASAMI, salarios mínimos 2026; Ley del Sistema Público de Cuidados de la CDMX (2026).</t>
  </si>
  <si>
    <t xml:space="preserve">Supuesto editable</t>
  </si>
  <si>
    <t xml:space="preserve">Fórmula</t>
  </si>
  <si>
    <t xml:space="preserve">Vínculo a otra hoja</t>
  </si>
  <si>
    <t xml:space="preserve">Supuesto clave</t>
  </si>
  <si>
    <t xml:space="preserve">Supuestos del modelo financiero — Red de Cuidado a Domicilio «Manos que Cuidan» (escenario simulado)</t>
  </si>
  <si>
    <t xml:space="preserve">Pesos constantes de 2026. Celdas en azul: supuestos que se pueden cambiar. Relleno amarillo: variables clave por escenario.</t>
  </si>
  <si>
    <t xml:space="preserve">Variable que cambia por escenario</t>
  </si>
  <si>
    <t xml:space="preserve">Unidad</t>
  </si>
  <si>
    <t xml:space="preserve">Pesimista</t>
  </si>
  <si>
    <t xml:space="preserve">Realista</t>
  </si>
  <si>
    <t xml:space="preserve">Optimista</t>
  </si>
  <si>
    <t xml:space="preserve">Fuente o justificación</t>
  </si>
  <si>
    <t xml:space="preserve">Adopción en estado estable</t>
  </si>
  <si>
    <t xml:space="preserve">% de hogares con necesidad de cuidado</t>
  </si>
  <si>
    <t xml:space="preserve">Anclada en la ENASIC 2022 (nacional): 3.2 % de las cuidadoras buscó un servicio formal en el último año; es el techo del escenario optimista.</t>
  </si>
  <si>
    <t xml:space="preserve">Horas contratadas por familia</t>
  </si>
  <si>
    <t xml:space="preserve">horas por semana</t>
  </si>
  <si>
    <t xml:space="preserve">ENUT 2024: las mujeres de la CDMX que cuidan dedican 12.2 h a la semana; el servicio cubre la mitad o algo más.</t>
  </si>
  <si>
    <t xml:space="preserve">Subsidio público por hora</t>
  </si>
  <si>
    <t xml:space="preserve">pesos por hora</t>
  </si>
  <si>
    <t xml:space="preserve">Supuesto de convenio con el Sistema Público de Cuidados de la CDMX (ley promulgada el 2 de julio de 2026). Sin convenio no hay subsidio.</t>
  </si>
  <si>
    <t xml:space="preserve">Meses para llegar al estado estable</t>
  </si>
  <si>
    <t xml:space="preserve">meses</t>
  </si>
  <si>
    <t xml:space="preserve">Probabilidad asignada</t>
  </si>
  <si>
    <t xml:space="preserve">%</t>
  </si>
  <si>
    <t xml:space="preserve">Subjetiva y cargada hacia abajo: no hay historia del servicio y el subsidio depende de un convenio que no existe.</t>
  </si>
  <si>
    <t xml:space="preserve">Suma de probabilidades (debe ser 100 %)</t>
  </si>
  <si>
    <t xml:space="preserve">Parámetro común</t>
  </si>
  <si>
    <t xml:space="preserve">Valor</t>
  </si>
  <si>
    <t xml:space="preserve">Hogares con necesidad de cuidado en la zona</t>
  </si>
  <si>
    <t xml:space="preserve">hogares</t>
  </si>
  <si>
    <t xml:space="preserve">Censo 2020 (25 AGEB de Iztapalapa sin respaldo) y ENUT 2024 (1.206 personas con necesidad de cuidado por hogar con necesidad).</t>
  </si>
  <si>
    <t xml:space="preserve">Copago de la familia</t>
  </si>
  <si>
    <t xml:space="preserve">$ por hora</t>
  </si>
  <si>
    <t xml:space="preserve">Tarifa social, por debajo del mercado (≈ $142/h de una cuidadora de tiempo completo a $25,000 al mes en la CDMX).</t>
  </si>
  <si>
    <t xml:space="preserve">Pago bruto a la cuidadora</t>
  </si>
  <si>
    <t xml:space="preserve">1.28 veces el salario mínimo profesional de las trabajadoras del hogar 2026 ($342.47 diarios, $42.81 por hora en jornada de 8 h).</t>
  </si>
  <si>
    <t xml:space="preserve">Prestaciones y seguridad social sobre el pago</t>
  </si>
  <si>
    <t xml:space="preserve">Seguridad social obligatoria del trabajo del hogar, aguinaldo y vacaciones.</t>
  </si>
  <si>
    <t xml:space="preserve">Seguro por hora, insumos y traslados</t>
  </si>
  <si>
    <t xml:space="preserve">Jornada de una cuidadora de la red</t>
  </si>
  <si>
    <t xml:space="preserve">Rotación mensual de cuidadoras</t>
  </si>
  <si>
    <t xml:space="preserve">Capacitación y verificación por cuidadora nueva</t>
  </si>
  <si>
    <t xml:space="preserve">$</t>
  </si>
  <si>
    <t xml:space="preserve">Familias por trabajadora social</t>
  </si>
  <si>
    <t xml:space="preserve">familias</t>
  </si>
  <si>
    <t xml:space="preserve">Familias del piloto</t>
  </si>
  <si>
    <t xml:space="preserve">Incidente crítico del PP: piloto de 2 colonias, 15 familias y 6 cuidadoras.</t>
  </si>
  <si>
    <t xml:space="preserve">Cuidadoras del piloto</t>
  </si>
  <si>
    <t xml:space="preserve">cuidadoras</t>
  </si>
  <si>
    <t xml:space="preserve">Duración del piloto</t>
  </si>
  <si>
    <t xml:space="preserve">Coordinadora del programa (con 35 % de carga social)</t>
  </si>
  <si>
    <t xml:space="preserve">$ al mes</t>
  </si>
  <si>
    <t xml:space="preserve">Trabajadora social (con 35 % de carga social)</t>
  </si>
  <si>
    <t xml:space="preserve">Plataforma: hospedaje, mensajería y mantenimiento</t>
  </si>
  <si>
    <t xml:space="preserve">Póliza de responsabilidad civil</t>
  </si>
  <si>
    <t xml:space="preserve">Trabajo comunitario y difusión</t>
  </si>
  <si>
    <t xml:space="preserve">Contabilidad y facturación</t>
  </si>
  <si>
    <t xml:space="preserve">Inversión: adaptar la plataforma de vinculación</t>
  </si>
  <si>
    <t xml:space="preserve">Inversión: protección de datos (LFPDPPP)</t>
  </si>
  <si>
    <t xml:space="preserve">Inversión: equipamiento (kits, botiquines, teléfonos)</t>
  </si>
  <si>
    <t xml:space="preserve">Inversión: lanzamiento en las colonias</t>
  </si>
  <si>
    <t xml:space="preserve">Tasa de descuento real anual</t>
  </si>
  <si>
    <t xml:space="preserve">Tasa social de descuento de 10 % real (SHCP, Unidad de Inversiones, 2022).</t>
  </si>
  <si>
    <t xml:space="preserve">Colchón para imprevistos</t>
  </si>
  <si>
    <t xml:space="preserve">Mes de revisión (decisión por etapas)</t>
  </si>
  <si>
    <t xml:space="preserve">mes</t>
  </si>
  <si>
    <t xml:space="preserve">Umbral para continuar (fracción de familias del punto de equilibrio)</t>
  </si>
  <si>
    <t xml:space="preserve">Costo de cierre, en meses de costos fijos</t>
  </si>
  <si>
    <t xml:space="preserve">Derivado (fórmula)</t>
  </si>
  <si>
    <t xml:space="preserve">Cómo se calcula</t>
  </si>
  <si>
    <t xml:space="preserve">Semanas por mes</t>
  </si>
  <si>
    <t xml:space="preserve">semanas</t>
  </si>
  <si>
    <t xml:space="preserve">52 semanas ÷ 12 meses</t>
  </si>
  <si>
    <t xml:space="preserve">Costo variable por hora</t>
  </si>
  <si>
    <t xml:space="preserve">Pago × (1 + prestaciones) + insumos</t>
  </si>
  <si>
    <t xml:space="preserve">Costos fijos sin trabajadoras sociales</t>
  </si>
  <si>
    <t xml:space="preserve">Coordinación + plataforma + seguro + difusión + administración</t>
  </si>
  <si>
    <t xml:space="preserve">Inversión inicial (mes 0)</t>
  </si>
  <si>
    <t xml:space="preserve">Inversiones + capacitación de las cuidadoras del piloto</t>
  </si>
  <si>
    <t xml:space="preserve">Tasa de descuento mensual equivalente</t>
  </si>
  <si>
    <t xml:space="preserve">(1 + tasa anual)^(1/12) − 1</t>
  </si>
  <si>
    <t xml:space="preserve">El horizonte es de 60 meses (vida útil de la plataforma y del equipo), sin valor de rescate. Cambiarlo requiere agregar o quitar filas en las hojas de flujo.</t>
  </si>
  <si>
    <t xml:space="preserve">Flujo mensual — escenario pesimista (pesos de 2026)</t>
  </si>
  <si>
    <t xml:space="preserve">Todas las celdas son fórmulas que leen la hoja «Supuestos» (texto verde: vínculo). Mes 0 = inversión inicial.</t>
  </si>
  <si>
    <t xml:space="preserve">Indicador</t>
  </si>
  <si>
    <t xml:space="preserve">Escenario</t>
  </si>
  <si>
    <t xml:space="preserve">Mes</t>
  </si>
  <si>
    <t xml:space="preserve">Familias</t>
  </si>
  <si>
    <t xml:space="preserve">Horas por semana</t>
  </si>
  <si>
    <t xml:space="preserve">Horas al mes</t>
  </si>
  <si>
    <t xml:space="preserve">Cuidadoras</t>
  </si>
  <si>
    <t xml:space="preserve">Cuidadoras nuevas (incluye rotación)</t>
  </si>
  <si>
    <t xml:space="preserve">Trabajadoras sociales</t>
  </si>
  <si>
    <t xml:space="preserve">Ingresos ($)</t>
  </si>
  <si>
    <t xml:space="preserve">Costo variable ($)</t>
  </si>
  <si>
    <t xml:space="preserve">Costos fijos ($)</t>
  </si>
  <si>
    <t xml:space="preserve">Capacitación ($)</t>
  </si>
  <si>
    <t xml:space="preserve">Inversión ($)</t>
  </si>
  <si>
    <t xml:space="preserve">Flujo neto ($)</t>
  </si>
  <si>
    <t xml:space="preserve">Flujo acumulado ($)</t>
  </si>
  <si>
    <t xml:space="preserve">Factor de descuento</t>
  </si>
  <si>
    <t xml:space="preserve">Flujo descontado ($)</t>
  </si>
  <si>
    <t xml:space="preserve">Acumulado descontado ($)</t>
  </si>
  <si>
    <t xml:space="preserve">¿Recuperado?</t>
  </si>
  <si>
    <t xml:space="preserve">¿Recuperado (descontado)?</t>
  </si>
  <si>
    <t xml:space="preserve">Tarifa por hora (copago + subsidio)</t>
  </si>
  <si>
    <t xml:space="preserve">Margen por hora</t>
  </si>
  <si>
    <t xml:space="preserve">Familias objetivo (estado estable)</t>
  </si>
  <si>
    <t xml:space="preserve">VAN a la tasa de descuento</t>
  </si>
  <si>
    <t xml:space="preserve">TIR mensual</t>
  </si>
  <si>
    <t xml:space="preserve">TIR anual equivalente</t>
  </si>
  <si>
    <t xml:space="preserve">Payback (meses)</t>
  </si>
  <si>
    <t xml:space="preserve">Payback descontado (meses)</t>
  </si>
  <si>
    <t xml:space="preserve">Costos fijos en estado estable</t>
  </si>
  <si>
    <t xml:space="preserve">Punto de equilibrio (horas al mes)</t>
  </si>
  <si>
    <t xml:space="preserve">Punto de equilibrio (familias)</t>
  </si>
  <si>
    <t xml:space="preserve">Utilidad neta acumulada (60 meses)</t>
  </si>
  <si>
    <t xml:space="preserve">Inversión inicial</t>
  </si>
  <si>
    <t xml:space="preserve">Capital de operación (3 meses)</t>
  </si>
  <si>
    <t xml:space="preserve">Requerimiento total de capital</t>
  </si>
  <si>
    <t xml:space="preserve">Déficit acumulado máximo</t>
  </si>
  <si>
    <t xml:space="preserve">Familias en estado estable</t>
  </si>
  <si>
    <t xml:space="preserve">Horas de cuidado al mes en estado estable</t>
  </si>
  <si>
    <t xml:space="preserve">Cuidadoras empleadas en estado estable</t>
  </si>
  <si>
    <t xml:space="preserve">Familias en el mes de revisión</t>
  </si>
  <si>
    <t xml:space="preserve">¿Se cierra en la revisión?</t>
  </si>
  <si>
    <t xml:space="preserve">Costo de cierre</t>
  </si>
  <si>
    <t xml:space="preserve">VAN con revisión en el mes 12</t>
  </si>
  <si>
    <t xml:space="preserve">Utilidad neta con revisión</t>
  </si>
  <si>
    <t xml:space="preserve">Flujo mensual — escenario realista (pesos de 2026)</t>
  </si>
  <si>
    <t xml:space="preserve">Flujo mensual — escenario optimista (pesos de 2026)</t>
  </si>
  <si>
    <t xml:space="preserve">Tabla comparativa de escenarios y valor esperado</t>
  </si>
  <si>
    <t xml:space="preserve">Vínculos (verde) a las hojas de flujo. El valor esperado pondera con las probabilidades de «Supuestos».</t>
  </si>
  <si>
    <t xml:space="preserve">Valor esperado</t>
  </si>
  <si>
    <t xml:space="preserve">VAN</t>
  </si>
  <si>
    <t xml:space="preserve">¿Se cierra en la revisión del mes 12?</t>
  </si>
  <si>
    <t xml:space="preserve">TIR anual</t>
  </si>
  <si>
    <t xml:space="preserve">Subsidio mínimo por hora para VAN ≥ 0 (realista)</t>
  </si>
  <si>
    <t xml:space="preserve">Decisión recomendada</t>
  </si>
  <si>
    <t xml:space="preserve">INVERTIR CONDICIONADO A: (1) convenio de subsidio ≥ $40 por hora con el Sistema Público de Cuidados; (2) revisión en el mes 12 con al menos 50 % de las familias del punto de equilibrio; (3) financiamiento comprometido por el déficit acumulado máximo del escenario realista más 10 %.</t>
  </si>
  <si>
    <t xml:space="preserve">Serie semestral de la oferta de respaldo (DENUE) y pronóstico ingenuo</t>
  </si>
  <si>
    <t xml:space="preserve">Datos del DENUE en azul. El backtesting y los intervalos del modelo ingenuo son fórmulas; las métricas de los otros modelos se calcularon en Python (statsmodels) y se copian como valores.</t>
  </si>
  <si>
    <t xml:space="preserve">Índice</t>
  </si>
  <si>
    <t xml:space="preserve">Semestre</t>
  </si>
  <si>
    <t xml:space="preserve">Total de respaldo</t>
  </si>
  <si>
    <t xml:space="preserve">Guardería</t>
  </si>
  <si>
    <t xml:space="preserve">Residencia / asilo</t>
  </si>
  <si>
    <t xml:space="preserve">Centro de día</t>
  </si>
  <si>
    <t xml:space="preserve">Δ a 1 semestre</t>
  </si>
  <si>
    <t xml:space="preserve">Δ a 2 semestres</t>
  </si>
  <si>
    <t xml:space="preserve">Δ a 3 semestres</t>
  </si>
  <si>
    <t xml:space="preserve">2016-S1</t>
  </si>
  <si>
    <t xml:space="preserve">2016-S2</t>
  </si>
  <si>
    <t xml:space="preserve">2017-S1</t>
  </si>
  <si>
    <t xml:space="preserve">2017-S2</t>
  </si>
  <si>
    <t xml:space="preserve">2018-S1</t>
  </si>
  <si>
    <t xml:space="preserve">2018-S2</t>
  </si>
  <si>
    <t xml:space="preserve">2019-S1</t>
  </si>
  <si>
    <t xml:space="preserve">2019-S2</t>
  </si>
  <si>
    <t xml:space="preserve">2020-S1</t>
  </si>
  <si>
    <t xml:space="preserve">2020-S2</t>
  </si>
  <si>
    <t xml:space="preserve">2021-S1</t>
  </si>
  <si>
    <t xml:space="preserve">2021-S2</t>
  </si>
  <si>
    <t xml:space="preserve">2022-S1</t>
  </si>
  <si>
    <t xml:space="preserve">2022-S2</t>
  </si>
  <si>
    <t xml:space="preserve">2023-S1</t>
  </si>
  <si>
    <t xml:space="preserve">2023-S2</t>
  </si>
  <si>
    <t xml:space="preserve">2024-S1</t>
  </si>
  <si>
    <t xml:space="preserve">2024-S2</t>
  </si>
  <si>
    <t xml:space="preserve">2025-S1</t>
  </si>
  <si>
    <t xml:space="preserve">2025-S2</t>
  </si>
  <si>
    <t xml:space="preserve">2026-S1</t>
  </si>
  <si>
    <t xml:space="preserve">Semestres sin edición (2023-S1, 2025-S2) llevan el valor anterior.</t>
  </si>
  <si>
    <t xml:space="preserve">Backtesting del modelo ingenuo, serie total (origen móvil)</t>
  </si>
  <si>
    <t xml:space="preserve">h</t>
  </si>
  <si>
    <t xml:space="preserve">Origen (índice)</t>
  </si>
  <si>
    <t xml:space="preserve">Real</t>
  </si>
  <si>
    <t xml:space="preserve">Pronóstico</t>
  </si>
  <si>
    <t xml:space="preserve">Error</t>
  </si>
  <si>
    <t xml:space="preserve">|Error| / Real</t>
  </si>
  <si>
    <t xml:space="preserve">Error²</t>
  </si>
  <si>
    <t xml:space="preserve">Comparación de modelos (origen móvil)</t>
  </si>
  <si>
    <t xml:space="preserve">Modelo</t>
  </si>
  <si>
    <t xml:space="preserve">MAPE</t>
  </si>
  <si>
    <t xml:space="preserve">RMSE</t>
  </si>
  <si>
    <t xml:space="preserve">MAE</t>
  </si>
  <si>
    <t xml:space="preserve">Evaluaciones</t>
  </si>
  <si>
    <t xml:space="preserve">Origen del cálculo</t>
  </si>
  <si>
    <t xml:space="preserve">Ingenuo (elegido)</t>
  </si>
  <si>
    <t xml:space="preserve">Deriva</t>
  </si>
  <si>
    <t xml:space="preserve">Python (statsmodels), valor copiado</t>
  </si>
  <si>
    <t xml:space="preserve">Suavizamiento simple</t>
  </si>
  <si>
    <t xml:space="preserve">Holt amortiguado</t>
  </si>
  <si>
    <t xml:space="preserve">ARIMA(0,1,1)</t>
  </si>
  <si>
    <t xml:space="preserve">Pronóstico de la oferta total de respaldo (modelo ingenuo, intervalos empíricos)</t>
  </si>
  <si>
    <t xml:space="preserve">Periodo</t>
  </si>
  <si>
    <t xml:space="preserve">Lím. inf. 80 %</t>
  </si>
  <si>
    <t xml:space="preserve">Lím. sup. 80 %</t>
  </si>
  <si>
    <t xml:space="preserve">Lím. inf. 95 %</t>
  </si>
  <si>
    <t xml:space="preserve">Lím. sup. 95 %</t>
  </si>
  <si>
    <t xml:space="preserve">2026-S2</t>
  </si>
  <si>
    <t xml:space="preserve">2027-S1</t>
  </si>
  <si>
    <t xml:space="preserve">2027-S2</t>
  </si>
  <si>
    <t xml:space="preserve">Modelo de horas de cuidado no remunerado por mujer de 15 a 59 (regresión lineal ponderada, ENUT 2024)</t>
  </si>
  <si>
    <t xml:space="preserve">Coeficientes estimados en el notebook 03 (valores). La calculadora aplica el modelo a los promedios de un AGEB.</t>
  </si>
  <si>
    <t xml:space="preserve">Variable</t>
  </si>
  <si>
    <t xml:space="preserve">Descripción</t>
  </si>
  <si>
    <t xml:space="preserve">Coeficiente (h/semana)</t>
  </si>
  <si>
    <t xml:space="preserve">Construcción con el Censo 2020</t>
  </si>
  <si>
    <t xml:space="preserve">Valor de ejemplo (totales CDMX)</t>
  </si>
  <si>
    <t xml:space="preserve">Aporte (h/semana)</t>
  </si>
  <si>
    <t xml:space="preserve">constante</t>
  </si>
  <si>
    <t xml:space="preserve">Constante</t>
  </si>
  <si>
    <t xml:space="preserve">—</t>
  </si>
  <si>
    <t xml:space="preserve">n_0a5</t>
  </si>
  <si>
    <t xml:space="preserve">Niñas y niños de 0 a 5 en el hogar</t>
  </si>
  <si>
    <t xml:space="preserve">(P_0A2 + P_3A5) / TOTHOG</t>
  </si>
  <si>
    <t xml:space="preserve">n_6a14</t>
  </si>
  <si>
    <t xml:space="preserve">Niñas y niños de 6 a 14 en el hogar</t>
  </si>
  <si>
    <t xml:space="preserve">(P_6A11 + P_12A14) / TOTHOG</t>
  </si>
  <si>
    <t xml:space="preserve">n_60mas</t>
  </si>
  <si>
    <t xml:space="preserve">Personas de 60 años o más en el hogar</t>
  </si>
  <si>
    <t xml:space="preserve">P_60YMAS / TOTHOG</t>
  </si>
  <si>
    <t xml:space="preserve">n_disc</t>
  </si>
  <si>
    <t xml:space="preserve">Personas con discapacidad para bañarse, vestirse o comer en el hogar</t>
  </si>
  <si>
    <t xml:space="preserve">PCDISC_MOT2 / TOTHOG</t>
  </si>
  <si>
    <t xml:space="preserve">tam</t>
  </si>
  <si>
    <t xml:space="preserve">Integrantes del hogar</t>
  </si>
  <si>
    <t xml:space="preserve">PROM_OCUP</t>
  </si>
  <si>
    <t xml:space="preserve">edad_15a24</t>
  </si>
  <si>
    <t xml:space="preserve">Tiene de 15 a 24 años (referencia: 25 a 49)</t>
  </si>
  <si>
    <t xml:space="preserve">(P_15A17_F + P_18A24_F) / mujeres 15-59</t>
  </si>
  <si>
    <t xml:space="preserve">edad_50a59</t>
  </si>
  <si>
    <t xml:space="preserve">Tiene de 50 a 59 años (referencia: 25 a 49)</t>
  </si>
  <si>
    <t xml:space="preserve">(mujeres 15-59 − P_15A49_F) / mujeres 15-59</t>
  </si>
  <si>
    <t xml:space="preserve">ocupada</t>
  </si>
  <si>
    <t xml:space="preserve">Está ocupada</t>
  </si>
  <si>
    <t xml:space="preserve">POCUPADA_F / P_12YMAS_F</t>
  </si>
  <si>
    <t xml:space="preserve">anios_esc</t>
  </si>
  <si>
    <t xml:space="preserve">Años de escolaridad</t>
  </si>
  <si>
    <t xml:space="preserve">GRAPROES_F</t>
  </si>
  <si>
    <t xml:space="preserve">jefa_hog</t>
  </si>
  <si>
    <t xml:space="preserve">Vive en un hogar con jefatura femenina</t>
  </si>
  <si>
    <t xml:space="preserve">PHOGJEF_F / POBHOG</t>
  </si>
  <si>
    <t xml:space="preserve">urbana</t>
  </si>
  <si>
    <t xml:space="preserve">Localidad de 100 mil habitantes o más</t>
  </si>
  <si>
    <t xml:space="preserve">1 en todas las AGEB urbanas</t>
  </si>
  <si>
    <t xml:space="preserve">Predicción del modelo (h/semana por mujer)</t>
  </si>
  <si>
    <t xml:space="preserve">Factor de calibración a la ENUT CDMX</t>
  </si>
  <si>
    <t xml:space="preserve">Predicción calibrada (h/semana por mujer)</t>
  </si>
  <si>
    <t xml:space="preserve">Validación</t>
  </si>
  <si>
    <t xml:space="preserve">Tarea</t>
  </si>
  <si>
    <t xml:space="preserve">Conjunto</t>
  </si>
  <si>
    <t xml:space="preserve">Métrica</t>
  </si>
  <si>
    <t xml:space="preserve">¿Elegido?</t>
  </si>
  <si>
    <t xml:space="preserve">Regresión lineal</t>
  </si>
  <si>
    <t xml:space="preserve">Horas de cuidado por mujer (individual)</t>
  </si>
  <si>
    <t xml:space="preserve">Prueba (20 %)</t>
  </si>
  <si>
    <t xml:space="preserve">Sí</t>
  </si>
  <si>
    <t xml:space="preserve">R2</t>
  </si>
  <si>
    <t xml:space="preserve">Validación cruzada (5 pliegues)</t>
  </si>
  <si>
    <t xml:space="preserve">Validación cruzada, desv. estándar del RMSE</t>
  </si>
  <si>
    <t xml:space="preserve">Random Forest</t>
  </si>
  <si>
    <t xml:space="preserve">No</t>
  </si>
  <si>
    <t xml:space="preserve">Horas de cuidado promedio de una entidad (aplicación con el Censo)</t>
  </si>
  <si>
    <t xml:space="preserve">Dejando fuera una entidad (32)</t>
  </si>
  <si>
    <t xml:space="preserve">Random Forest (promedios)</t>
  </si>
  <si>
    <t xml:space="preserve">Random Forest (microdatos, referencia)</t>
  </si>
  <si>
    <t xml:space="preserve">Análisis de riesgos del programa</t>
  </si>
  <si>
    <t xml:space="preserve">Tipo</t>
  </si>
  <si>
    <t xml:space="preserve">Probabilidad</t>
  </si>
  <si>
    <t xml:space="preserve">Impacto</t>
  </si>
  <si>
    <t xml:space="preserve">Mitigación</t>
  </si>
  <si>
    <t xml:space="preserve">Mercado</t>
  </si>
  <si>
    <t xml:space="preserve">Menor adopción de la prevista: solo 3.2 % de las cuidadoras buscó un servicio formal y 32.2 % no contrataría ninguno (ENASIC 2022, nacional); la desconfianza en alguien ajeno es una razón citada.</t>
  </si>
  <si>
    <t xml:space="preserve">Media</t>
  </si>
  <si>
    <t xml:space="preserve">Alto</t>
  </si>
  <si>
    <t xml:space="preserve">Cuidadoras de las mismas colonias, verificación visible y piloto de 15 familias; revisión en el mes 12 con regla de cierre (≥ 50 % de las familias del punto de equilibrio).</t>
  </si>
  <si>
    <t xml:space="preserve">Los 300 Centros de Cuidado Infantil gratuitos anunciados por la CDMX (sep-2026) pueden reducir la demanda del segmento de 0 a 5 años.</t>
  </si>
  <si>
    <t xml:space="preserve">Medio</t>
  </si>
  <si>
    <t xml:space="preserve">Enfocar la red en personas mayores y con discapacidad y en horarios fuera de 6:30 a 18:00; presentarla como complemento del Sistema Público de Cuidados, no como competencia.</t>
  </si>
  <si>
    <t xml:space="preserve">Costos</t>
  </si>
  <si>
    <t xml:space="preserve">Aumentos del salario mínimo por encima de la tarifa (el general subió 13 % en 2026) comprimen el margen de $25.50 por hora.</t>
  </si>
  <si>
    <t xml:space="preserve">Alta</t>
  </si>
  <si>
    <t xml:space="preserve">Indexar el copago y el subsidio al salario mínimo profesional del trabajo del hogar dentro del convenio.</t>
  </si>
  <si>
    <t xml:space="preserve">Ejecución</t>
  </si>
  <si>
    <t xml:space="preserve">Rotación de cuidadoras e incidentes de seguridad o maltrato en el domicilio.</t>
  </si>
  <si>
    <t xml:space="preserve">Curso de 40 h, verificación de antecedentes, seguro de responsabilidad civil, protocolo de incidentes y una trabajadora social por cada 80 familias.</t>
  </si>
  <si>
    <t xml:space="preserve">Financiero</t>
  </si>
  <si>
    <t xml:space="preserve">Dependencia del subsidio: con menos de ~$38 por hora el VAN realista es negativo.</t>
  </si>
  <si>
    <t xml:space="preserve">Firmar un convenio plurianual antes de la etapa 2 y buscar fuentes complementarias (donativos, responsabilidad social empresarial).</t>
  </si>
  <si>
    <t xml:space="preserve">Legal</t>
  </si>
  <si>
    <t xml:space="preserve">Tratamiento de datos sensibles (salud, discapacidad, ubicación) de familias y cuidadoras bajo la LFPDPPP vigente desde el 21 de marzo de 2025.</t>
  </si>
  <si>
    <t xml:space="preserve">Baja</t>
  </si>
  <si>
    <t xml:space="preserve">Aviso de privacidad, minimización de datos, seudonimización en los indicadores y protocolo de gobernanza (entregables de la UCA de Leyes).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</si>
</sst>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;\(0.0%\);\-"/>
    <numFmt numFmtId="166" formatCode="#,##0.0;\(#,##0.0\);\-"/>
    <numFmt numFmtId="167" formatCode="\$#,##0.00;&quot;($&quot;#,##0.00\);\-"/>
    <numFmt numFmtId="168" formatCode="#,##0;\(#,##0\);\-"/>
    <numFmt numFmtId="169" formatCode="\$#,##0;&quot;($&quot;#,##0\);\-"/>
    <numFmt numFmtId="170" formatCode="0.000;\(0.000\);\-"/>
    <numFmt numFmtId="171" formatCode="0.000%"/>
    <numFmt numFmtId="172" formatCode="0.0000"/>
    <numFmt numFmtId="173" formatCode="0"/>
    <numFmt numFmtId="174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E6FD"/>
        <bgColor rgb="FFF2F2F2"/>
      </patternFill>
    </fill>
    <fill>
      <patternFill patternType="solid">
        <fgColor rgb="FFF2F2F2"/>
        <bgColor rgb="FFE8E6F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6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21" customFormat="false" ht="15" hidden="false" customHeight="false" outlineLevel="0" collapsed="false">
      <c r="A21" s="4" t="s">
        <v>14</v>
      </c>
    </row>
    <row r="22" customFormat="false" ht="15" hidden="false" customHeight="false" outlineLevel="0" collapsed="false">
      <c r="A22" s="2" t="s">
        <v>15</v>
      </c>
    </row>
    <row r="23" customFormat="false" ht="15" hidden="false" customHeight="false" outlineLevel="0" collapsed="false">
      <c r="A23" s="5" t="s">
        <v>16</v>
      </c>
    </row>
    <row r="24" customFormat="false" ht="15" hidden="false" customHeight="false" outlineLevel="0" collapsed="false">
      <c r="A24" s="6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5" min="3" style="0" width="14"/>
    <col collapsed="false" customWidth="true" hidden="false" outlineLevel="0" max="6" min="6" style="0" width="110"/>
  </cols>
  <sheetData>
    <row r="1" customFormat="false" ht="16.15" hidden="false" customHeight="false" outlineLevel="0" collapsed="false">
      <c r="A1" s="1" t="s">
        <v>18</v>
      </c>
    </row>
    <row r="2" customFormat="false" ht="15" hidden="false" customHeight="false" outlineLevel="0" collapsed="false">
      <c r="A2" s="7" t="s">
        <v>19</v>
      </c>
    </row>
    <row r="4" customFormat="false" ht="15" hidden="false" customHeight="false" outlineLevel="0" collapsed="false">
      <c r="A4" s="8" t="s">
        <v>20</v>
      </c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</row>
    <row r="5" customFormat="false" ht="15" hidden="false" customHeight="false" outlineLevel="0" collapsed="false">
      <c r="A5" s="2" t="s">
        <v>26</v>
      </c>
      <c r="B5" s="2" t="s">
        <v>27</v>
      </c>
      <c r="C5" s="9" t="n">
        <v>0.01</v>
      </c>
      <c r="D5" s="9" t="n">
        <v>0.02</v>
      </c>
      <c r="E5" s="9" t="n">
        <v>0.032</v>
      </c>
      <c r="F5" s="2" t="s">
        <v>28</v>
      </c>
    </row>
    <row r="6" customFormat="false" ht="15" hidden="false" customHeight="false" outlineLevel="0" collapsed="false">
      <c r="A6" s="2" t="s">
        <v>29</v>
      </c>
      <c r="B6" s="2" t="s">
        <v>30</v>
      </c>
      <c r="C6" s="10" t="n">
        <v>6</v>
      </c>
      <c r="D6" s="10" t="n">
        <v>8</v>
      </c>
      <c r="E6" s="10" t="n">
        <v>10</v>
      </c>
      <c r="F6" s="2" t="s">
        <v>31</v>
      </c>
    </row>
    <row r="7" customFormat="false" ht="15" hidden="false" customHeight="false" outlineLevel="0" collapsed="false">
      <c r="A7" s="2" t="s">
        <v>32</v>
      </c>
      <c r="B7" s="2" t="s">
        <v>33</v>
      </c>
      <c r="C7" s="11" t="n">
        <v>20</v>
      </c>
      <c r="D7" s="11" t="n">
        <v>40</v>
      </c>
      <c r="E7" s="11" t="n">
        <v>40</v>
      </c>
      <c r="F7" s="2" t="s">
        <v>34</v>
      </c>
    </row>
    <row r="8" customFormat="false" ht="15" hidden="false" customHeight="false" outlineLevel="0" collapsed="false">
      <c r="A8" s="2" t="s">
        <v>35</v>
      </c>
      <c r="B8" s="2" t="s">
        <v>36</v>
      </c>
      <c r="C8" s="12" t="n">
        <v>24</v>
      </c>
      <c r="D8" s="12" t="n">
        <v>18</v>
      </c>
      <c r="E8" s="12" t="n">
        <v>12</v>
      </c>
      <c r="F8" s="2"/>
    </row>
    <row r="9" customFormat="false" ht="15" hidden="false" customHeight="false" outlineLevel="0" collapsed="false">
      <c r="A9" s="2" t="s">
        <v>37</v>
      </c>
      <c r="B9" s="2" t="s">
        <v>38</v>
      </c>
      <c r="C9" s="9" t="n">
        <v>0.3</v>
      </c>
      <c r="D9" s="9" t="n">
        <v>0.5</v>
      </c>
      <c r="E9" s="9" t="n">
        <v>0.2</v>
      </c>
      <c r="F9" s="2" t="s">
        <v>39</v>
      </c>
    </row>
    <row r="10" customFormat="false" ht="15" hidden="false" customHeight="false" outlineLevel="0" collapsed="false">
      <c r="A10" s="2" t="s">
        <v>40</v>
      </c>
      <c r="C10" s="13" t="n">
        <f aca="false">SUM(C9:E9)</f>
        <v>1</v>
      </c>
    </row>
    <row r="12" customFormat="false" ht="15" hidden="false" customHeight="false" outlineLevel="0" collapsed="false">
      <c r="A12" s="8" t="s">
        <v>41</v>
      </c>
      <c r="B12" s="8" t="s">
        <v>21</v>
      </c>
      <c r="C12" s="8" t="s">
        <v>42</v>
      </c>
      <c r="D12" s="8"/>
      <c r="E12" s="8"/>
      <c r="F12" s="8" t="s">
        <v>25</v>
      </c>
    </row>
    <row r="13" customFormat="false" ht="15" hidden="false" customHeight="false" outlineLevel="0" collapsed="false">
      <c r="A13" s="2" t="s">
        <v>43</v>
      </c>
      <c r="B13" s="2" t="s">
        <v>44</v>
      </c>
      <c r="C13" s="14" t="n">
        <v>9415</v>
      </c>
      <c r="F13" s="2" t="s">
        <v>45</v>
      </c>
    </row>
    <row r="14" customFormat="false" ht="15" hidden="false" customHeight="false" outlineLevel="0" collapsed="false">
      <c r="A14" s="2" t="s">
        <v>46</v>
      </c>
      <c r="B14" s="2" t="s">
        <v>47</v>
      </c>
      <c r="C14" s="15" t="n">
        <v>60</v>
      </c>
      <c r="F14" s="2" t="s">
        <v>48</v>
      </c>
    </row>
    <row r="15" customFormat="false" ht="15" hidden="false" customHeight="false" outlineLevel="0" collapsed="false">
      <c r="A15" s="2" t="s">
        <v>49</v>
      </c>
      <c r="B15" s="2" t="s">
        <v>47</v>
      </c>
      <c r="C15" s="15" t="n">
        <v>55</v>
      </c>
      <c r="F15" s="2" t="s">
        <v>50</v>
      </c>
    </row>
    <row r="16" customFormat="false" ht="15" hidden="false" customHeight="false" outlineLevel="0" collapsed="false">
      <c r="A16" s="2" t="s">
        <v>51</v>
      </c>
      <c r="B16" s="2" t="s">
        <v>38</v>
      </c>
      <c r="C16" s="16" t="n">
        <v>0.3</v>
      </c>
      <c r="F16" s="2" t="s">
        <v>52</v>
      </c>
    </row>
    <row r="17" customFormat="false" ht="15" hidden="false" customHeight="false" outlineLevel="0" collapsed="false">
      <c r="A17" s="2" t="s">
        <v>53</v>
      </c>
      <c r="B17" s="2" t="s">
        <v>47</v>
      </c>
      <c r="C17" s="15" t="n">
        <v>3</v>
      </c>
      <c r="F17" s="2"/>
    </row>
    <row r="18" customFormat="false" ht="15" hidden="false" customHeight="false" outlineLevel="0" collapsed="false">
      <c r="A18" s="2" t="s">
        <v>54</v>
      </c>
      <c r="B18" s="2" t="s">
        <v>30</v>
      </c>
      <c r="C18" s="17" t="n">
        <v>30</v>
      </c>
      <c r="F18" s="2"/>
    </row>
    <row r="19" customFormat="false" ht="15" hidden="false" customHeight="false" outlineLevel="0" collapsed="false">
      <c r="A19" s="2" t="s">
        <v>55</v>
      </c>
      <c r="B19" s="2" t="s">
        <v>38</v>
      </c>
      <c r="C19" s="16" t="n">
        <v>0.03</v>
      </c>
      <c r="F19" s="2"/>
    </row>
    <row r="20" customFormat="false" ht="15" hidden="false" customHeight="false" outlineLevel="0" collapsed="false">
      <c r="A20" s="2" t="s">
        <v>56</v>
      </c>
      <c r="B20" s="2" t="s">
        <v>57</v>
      </c>
      <c r="C20" s="18" t="n">
        <v>3500</v>
      </c>
      <c r="F20" s="2"/>
    </row>
    <row r="21" customFormat="false" ht="15" hidden="false" customHeight="false" outlineLevel="0" collapsed="false">
      <c r="A21" s="2" t="s">
        <v>58</v>
      </c>
      <c r="B21" s="2" t="s">
        <v>59</v>
      </c>
      <c r="C21" s="14" t="n">
        <v>80</v>
      </c>
      <c r="F21" s="2"/>
    </row>
    <row r="22" customFormat="false" ht="15" hidden="false" customHeight="false" outlineLevel="0" collapsed="false">
      <c r="A22" s="2" t="s">
        <v>60</v>
      </c>
      <c r="B22" s="2" t="s">
        <v>59</v>
      </c>
      <c r="C22" s="14" t="n">
        <v>15</v>
      </c>
      <c r="F22" s="2" t="s">
        <v>61</v>
      </c>
    </row>
    <row r="23" customFormat="false" ht="15" hidden="false" customHeight="false" outlineLevel="0" collapsed="false">
      <c r="A23" s="2" t="s">
        <v>62</v>
      </c>
      <c r="B23" s="2" t="s">
        <v>63</v>
      </c>
      <c r="C23" s="14" t="n">
        <v>6</v>
      </c>
      <c r="F23" s="2"/>
    </row>
    <row r="24" customFormat="false" ht="15" hidden="false" customHeight="false" outlineLevel="0" collapsed="false">
      <c r="A24" s="2" t="s">
        <v>64</v>
      </c>
      <c r="B24" s="2" t="s">
        <v>36</v>
      </c>
      <c r="C24" s="14" t="n">
        <v>6</v>
      </c>
      <c r="F24" s="2"/>
    </row>
    <row r="25" customFormat="false" ht="15" hidden="false" customHeight="false" outlineLevel="0" collapsed="false">
      <c r="A25" s="2" t="s">
        <v>65</v>
      </c>
      <c r="B25" s="2" t="s">
        <v>66</v>
      </c>
      <c r="C25" s="18" t="n">
        <v>29700</v>
      </c>
      <c r="F25" s="2"/>
    </row>
    <row r="26" customFormat="false" ht="15" hidden="false" customHeight="false" outlineLevel="0" collapsed="false">
      <c r="A26" s="2" t="s">
        <v>67</v>
      </c>
      <c r="B26" s="2" t="s">
        <v>66</v>
      </c>
      <c r="C26" s="18" t="n">
        <v>24300</v>
      </c>
      <c r="F26" s="2"/>
    </row>
    <row r="27" customFormat="false" ht="15" hidden="false" customHeight="false" outlineLevel="0" collapsed="false">
      <c r="A27" s="2" t="s">
        <v>68</v>
      </c>
      <c r="B27" s="2" t="s">
        <v>66</v>
      </c>
      <c r="C27" s="18" t="n">
        <v>6000</v>
      </c>
      <c r="F27" s="2"/>
    </row>
    <row r="28" customFormat="false" ht="15" hidden="false" customHeight="false" outlineLevel="0" collapsed="false">
      <c r="A28" s="2" t="s">
        <v>69</v>
      </c>
      <c r="B28" s="2" t="s">
        <v>66</v>
      </c>
      <c r="C28" s="18" t="n">
        <v>3000</v>
      </c>
      <c r="F28" s="2"/>
    </row>
    <row r="29" customFormat="false" ht="15" hidden="false" customHeight="false" outlineLevel="0" collapsed="false">
      <c r="A29" s="2" t="s">
        <v>70</v>
      </c>
      <c r="B29" s="2" t="s">
        <v>66</v>
      </c>
      <c r="C29" s="18" t="n">
        <v>4000</v>
      </c>
      <c r="F29" s="2"/>
    </row>
    <row r="30" customFormat="false" ht="15" hidden="false" customHeight="false" outlineLevel="0" collapsed="false">
      <c r="A30" s="2" t="s">
        <v>71</v>
      </c>
      <c r="B30" s="2" t="s">
        <v>66</v>
      </c>
      <c r="C30" s="18" t="n">
        <v>6000</v>
      </c>
      <c r="F30" s="2"/>
    </row>
    <row r="31" customFormat="false" ht="15" hidden="false" customHeight="false" outlineLevel="0" collapsed="false">
      <c r="A31" s="2" t="s">
        <v>72</v>
      </c>
      <c r="B31" s="2" t="s">
        <v>57</v>
      </c>
      <c r="C31" s="18" t="n">
        <v>120000</v>
      </c>
      <c r="F31" s="2"/>
    </row>
    <row r="32" customFormat="false" ht="15" hidden="false" customHeight="false" outlineLevel="0" collapsed="false">
      <c r="A32" s="2" t="s">
        <v>73</v>
      </c>
      <c r="B32" s="2" t="s">
        <v>57</v>
      </c>
      <c r="C32" s="18" t="n">
        <v>35000</v>
      </c>
      <c r="F32" s="2"/>
    </row>
    <row r="33" customFormat="false" ht="15" hidden="false" customHeight="false" outlineLevel="0" collapsed="false">
      <c r="A33" s="2" t="s">
        <v>74</v>
      </c>
      <c r="B33" s="2" t="s">
        <v>57</v>
      </c>
      <c r="C33" s="18" t="n">
        <v>30000</v>
      </c>
      <c r="F33" s="2"/>
    </row>
    <row r="34" customFormat="false" ht="15" hidden="false" customHeight="false" outlineLevel="0" collapsed="false">
      <c r="A34" s="2" t="s">
        <v>75</v>
      </c>
      <c r="B34" s="2" t="s">
        <v>57</v>
      </c>
      <c r="C34" s="18" t="n">
        <v>20000</v>
      </c>
      <c r="F34" s="2"/>
    </row>
    <row r="35" customFormat="false" ht="15" hidden="false" customHeight="false" outlineLevel="0" collapsed="false">
      <c r="A35" s="2" t="s">
        <v>76</v>
      </c>
      <c r="B35" s="2" t="s">
        <v>38</v>
      </c>
      <c r="C35" s="16" t="n">
        <v>0.1</v>
      </c>
      <c r="F35" s="2" t="s">
        <v>77</v>
      </c>
    </row>
    <row r="36" customFormat="false" ht="15" hidden="false" customHeight="false" outlineLevel="0" collapsed="false">
      <c r="A36" s="2" t="s">
        <v>78</v>
      </c>
      <c r="B36" s="2" t="s">
        <v>38</v>
      </c>
      <c r="C36" s="16" t="n">
        <v>0.1</v>
      </c>
      <c r="F36" s="2"/>
    </row>
    <row r="37" customFormat="false" ht="15" hidden="false" customHeight="false" outlineLevel="0" collapsed="false">
      <c r="A37" s="2" t="s">
        <v>79</v>
      </c>
      <c r="B37" s="2" t="s">
        <v>80</v>
      </c>
      <c r="C37" s="14" t="n">
        <v>12</v>
      </c>
      <c r="F37" s="2"/>
    </row>
    <row r="38" customFormat="false" ht="15" hidden="false" customHeight="false" outlineLevel="0" collapsed="false">
      <c r="A38" s="2" t="s">
        <v>81</v>
      </c>
      <c r="B38" s="2" t="s">
        <v>38</v>
      </c>
      <c r="C38" s="16" t="n">
        <v>0.5</v>
      </c>
      <c r="F38" s="2"/>
    </row>
    <row r="39" customFormat="false" ht="15" hidden="false" customHeight="false" outlineLevel="0" collapsed="false">
      <c r="A39" s="2" t="s">
        <v>82</v>
      </c>
      <c r="B39" s="2" t="s">
        <v>36</v>
      </c>
      <c r="C39" s="17" t="n">
        <v>2</v>
      </c>
      <c r="F39" s="2"/>
    </row>
    <row r="41" customFormat="false" ht="15" hidden="false" customHeight="false" outlineLevel="0" collapsed="false">
      <c r="A41" s="8" t="s">
        <v>83</v>
      </c>
      <c r="B41" s="8" t="s">
        <v>21</v>
      </c>
      <c r="C41" s="8" t="s">
        <v>42</v>
      </c>
      <c r="D41" s="8"/>
      <c r="E41" s="8"/>
      <c r="F41" s="8" t="s">
        <v>84</v>
      </c>
    </row>
    <row r="42" customFormat="false" ht="15" hidden="false" customHeight="false" outlineLevel="0" collapsed="false">
      <c r="A42" s="2" t="s">
        <v>85</v>
      </c>
      <c r="B42" s="2" t="s">
        <v>86</v>
      </c>
      <c r="C42" s="19" t="n">
        <f aca="false">52/12</f>
        <v>4.33333333333333</v>
      </c>
      <c r="F42" s="2" t="s">
        <v>87</v>
      </c>
    </row>
    <row r="43" customFormat="false" ht="15" hidden="false" customHeight="false" outlineLevel="0" collapsed="false">
      <c r="A43" s="2" t="s">
        <v>88</v>
      </c>
      <c r="B43" s="2" t="s">
        <v>47</v>
      </c>
      <c r="C43" s="20" t="n">
        <f aca="false">$C$15*(1+$C$16)+$C$17</f>
        <v>74.5</v>
      </c>
      <c r="F43" s="2" t="s">
        <v>89</v>
      </c>
    </row>
    <row r="44" customFormat="false" ht="15" hidden="false" customHeight="false" outlineLevel="0" collapsed="false">
      <c r="A44" s="2" t="s">
        <v>90</v>
      </c>
      <c r="B44" s="2" t="s">
        <v>66</v>
      </c>
      <c r="C44" s="21" t="n">
        <f aca="false">$C$25+$C$27+$C$28+$C$29+$C$30</f>
        <v>48700</v>
      </c>
      <c r="F44" s="2" t="s">
        <v>91</v>
      </c>
    </row>
    <row r="45" customFormat="false" ht="15" hidden="false" customHeight="false" outlineLevel="0" collapsed="false">
      <c r="A45" s="2" t="s">
        <v>92</v>
      </c>
      <c r="B45" s="2" t="s">
        <v>57</v>
      </c>
      <c r="C45" s="21" t="n">
        <f aca="false">$C$31+$C$32+$C$33+$C$34+$C$23*$C$20</f>
        <v>226000</v>
      </c>
      <c r="F45" s="2" t="s">
        <v>93</v>
      </c>
    </row>
    <row r="46" customFormat="false" ht="15" hidden="false" customHeight="false" outlineLevel="0" collapsed="false">
      <c r="A46" s="2" t="s">
        <v>94</v>
      </c>
      <c r="B46" s="2" t="s">
        <v>38</v>
      </c>
      <c r="C46" s="22" t="n">
        <f aca="false">(1+$C$35)^(1/12)-1</f>
        <v>0.00797414042890376</v>
      </c>
      <c r="F46" s="2" t="s">
        <v>95</v>
      </c>
    </row>
    <row r="48" customFormat="false" ht="15" hidden="false" customHeight="false" outlineLevel="0" collapsed="false">
      <c r="A48" s="23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19" min="2" style="0" width="13"/>
    <col collapsed="false" customWidth="true" hidden="false" outlineLevel="0" max="20" min="20" style="0" width="3"/>
    <col collapsed="false" customWidth="true" hidden="false" outlineLevel="0" max="21" min="21" style="0" width="42"/>
    <col collapsed="false" customWidth="true" hidden="false" outlineLevel="0" max="22" min="22" style="0" width="16"/>
  </cols>
  <sheetData>
    <row r="1" customFormat="false" ht="16.15" hidden="false" customHeight="false" outlineLevel="0" collapsed="false">
      <c r="A1" s="1" t="s">
        <v>97</v>
      </c>
    </row>
    <row r="2" customFormat="false" ht="15" hidden="false" customHeight="false" outlineLevel="0" collapsed="false">
      <c r="A2" s="7" t="s">
        <v>98</v>
      </c>
    </row>
    <row r="3" customFormat="false" ht="15" hidden="false" customHeight="false" outlineLevel="0" collapsed="false">
      <c r="U3" s="8" t="s">
        <v>99</v>
      </c>
      <c r="V3" s="8" t="s">
        <v>42</v>
      </c>
    </row>
    <row r="4" customFormat="false" ht="15" hidden="false" customHeight="false" outlineLevel="0" collapsed="false">
      <c r="U4" s="2" t="s">
        <v>100</v>
      </c>
      <c r="V4" s="2" t="s">
        <v>22</v>
      </c>
    </row>
    <row r="5" customFormat="false" ht="46.25" hidden="false" customHeight="false" outlineLevel="0" collapsed="false">
      <c r="A5" s="8" t="s">
        <v>101</v>
      </c>
      <c r="B5" s="8" t="s">
        <v>102</v>
      </c>
      <c r="C5" s="8" t="s">
        <v>103</v>
      </c>
      <c r="D5" s="8" t="s">
        <v>104</v>
      </c>
      <c r="E5" s="8" t="s">
        <v>105</v>
      </c>
      <c r="F5" s="8" t="s">
        <v>106</v>
      </c>
      <c r="G5" s="8" t="s">
        <v>107</v>
      </c>
      <c r="H5" s="8" t="s">
        <v>108</v>
      </c>
      <c r="I5" s="8" t="s">
        <v>109</v>
      </c>
      <c r="J5" s="8" t="s">
        <v>110</v>
      </c>
      <c r="K5" s="8" t="s">
        <v>111</v>
      </c>
      <c r="L5" s="8" t="s">
        <v>112</v>
      </c>
      <c r="M5" s="8" t="s">
        <v>113</v>
      </c>
      <c r="N5" s="8" t="s">
        <v>114</v>
      </c>
      <c r="O5" s="8" t="s">
        <v>115</v>
      </c>
      <c r="P5" s="8" t="s">
        <v>116</v>
      </c>
      <c r="Q5" s="8" t="s">
        <v>117</v>
      </c>
      <c r="R5" s="8" t="s">
        <v>118</v>
      </c>
      <c r="S5" s="8" t="s">
        <v>119</v>
      </c>
      <c r="U5" s="2" t="s">
        <v>120</v>
      </c>
      <c r="V5" s="20" t="n">
        <f aca="false">Supuestos!$C$14+Supuestos!$C$7</f>
        <v>80</v>
      </c>
    </row>
    <row r="6" customFormat="false" ht="15" hidden="false" customHeight="false" outlineLevel="0" collapsed="false">
      <c r="A6" s="24" t="n">
        <v>0</v>
      </c>
      <c r="B6" s="25" t="n">
        <f aca="false">IF(A6=0,0,IF(A6&lt;=Supuestos!$C$24,Supuestos!$C$22,IF(A6&gt;=Supuestos!$C$8,$V$7,Supuestos!$C$22+($V$7-Supuestos!$C$22)*(A6-Supuestos!$C$24)/(Supuestos!$C$8-Supuestos!$C$24))))</f>
        <v>0</v>
      </c>
      <c r="C6" s="25" t="n">
        <f aca="false">B6*Supuestos!$C$6</f>
        <v>0</v>
      </c>
      <c r="D6" s="26" t="n">
        <f aca="false">C6*Supuestos!$C$42</f>
        <v>0</v>
      </c>
      <c r="E6" s="26" t="n">
        <f aca="false">IF(A6=0,0,MAX(Supuestos!$C$23,ROUNDUP(C6/Supuestos!$C$18,0)))</f>
        <v>0</v>
      </c>
      <c r="F6" s="25" t="n">
        <v>0</v>
      </c>
      <c r="G6" s="26" t="n">
        <f aca="false">IF(A6=0,0,MAX(1,ROUNDUP(B6/Supuestos!$C$21,0)))</f>
        <v>0</v>
      </c>
      <c r="H6" s="27" t="n">
        <f aca="false">D6*(Supuestos!$C$14+Supuestos!$C$7)</f>
        <v>0</v>
      </c>
      <c r="I6" s="27" t="n">
        <f aca="false">D6*Supuestos!$C$43</f>
        <v>0</v>
      </c>
      <c r="J6" s="27" t="n">
        <f aca="false">IF(A6=0,0,Supuestos!$C$44+G6*Supuestos!$C$26)</f>
        <v>0</v>
      </c>
      <c r="K6" s="28" t="n">
        <f aca="false">F6*Supuestos!$C$20</f>
        <v>0</v>
      </c>
      <c r="L6" s="27" t="n">
        <f aca="false">IF(A6=0,Supuestos!$C$45,0)</f>
        <v>226000</v>
      </c>
      <c r="M6" s="28" t="n">
        <f aca="false">IF(A6=0,-L6,H6-I6-J6-K6)</f>
        <v>-226000</v>
      </c>
      <c r="N6" s="28" t="n">
        <f aca="false">M6</f>
        <v>-226000</v>
      </c>
      <c r="O6" s="29" t="n">
        <f aca="false">1/(1+Supuestos!$C$46)^A6</f>
        <v>1</v>
      </c>
      <c r="P6" s="28" t="n">
        <f aca="false">M6*O6</f>
        <v>-226000</v>
      </c>
      <c r="Q6" s="28" t="n">
        <f aca="false">P6</f>
        <v>-226000</v>
      </c>
      <c r="R6" s="30" t="n">
        <f aca="false">IF(AND(A6&gt;0,N6&gt;=0),1,0)</f>
        <v>0</v>
      </c>
      <c r="S6" s="30" t="n">
        <f aca="false">IF(AND(A6&gt;0,Q6&gt;=0),1,0)</f>
        <v>0</v>
      </c>
      <c r="U6" s="2" t="s">
        <v>121</v>
      </c>
      <c r="V6" s="20" t="n">
        <f aca="false">V5-Supuestos!$C$43</f>
        <v>5.5</v>
      </c>
    </row>
    <row r="7" customFormat="false" ht="15" hidden="false" customHeight="false" outlineLevel="0" collapsed="false">
      <c r="A7" s="4" t="n">
        <v>1</v>
      </c>
      <c r="B7" s="31" t="n">
        <f aca="false">IF(A7=0,0,IF(A7&lt;=Supuestos!$C$24,Supuestos!$C$22,IF(A7&gt;=Supuestos!$C$8,$V$7,Supuestos!$C$22+($V$7-Supuestos!$C$22)*(A7-Supuestos!$C$24)/(Supuestos!$C$8-Supuestos!$C$24))))</f>
        <v>15</v>
      </c>
      <c r="C7" s="31" t="n">
        <f aca="false">B7*Supuestos!$C$6</f>
        <v>90</v>
      </c>
      <c r="D7" s="32" t="n">
        <f aca="false">C7*Supuestos!$C$42</f>
        <v>390</v>
      </c>
      <c r="E7" s="32" t="n">
        <f aca="false">IF(A7=0,0,MAX(Supuestos!$C$23,ROUNDUP(C7/Supuestos!$C$18,0)))</f>
        <v>6</v>
      </c>
      <c r="F7" s="31" t="n">
        <f aca="false">MAX(0,E7-IF(A6=0,Supuestos!$C$23,E6))+Supuestos!$C$19*E7</f>
        <v>0.18</v>
      </c>
      <c r="G7" s="32" t="n">
        <f aca="false">IF(A7=0,0,MAX(1,ROUNDUP(B7/Supuestos!$C$21,0)))</f>
        <v>1</v>
      </c>
      <c r="H7" s="33" t="n">
        <f aca="false">D7*(Supuestos!$C$14+Supuestos!$C$7)</f>
        <v>31200</v>
      </c>
      <c r="I7" s="33" t="n">
        <f aca="false">D7*Supuestos!$C$43</f>
        <v>29055</v>
      </c>
      <c r="J7" s="33" t="n">
        <f aca="false">IF(A7=0,0,Supuestos!$C$44+G7*Supuestos!$C$26)</f>
        <v>73000</v>
      </c>
      <c r="K7" s="21" t="n">
        <f aca="false">F7*Supuestos!$C$20</f>
        <v>630</v>
      </c>
      <c r="L7" s="33" t="n">
        <f aca="false">IF(A7=0,Supuestos!$C$45,0)</f>
        <v>0</v>
      </c>
      <c r="M7" s="21" t="n">
        <f aca="false">IF(A7=0,-L7,H7-I7-J7-K7)</f>
        <v>-71485</v>
      </c>
      <c r="N7" s="21" t="n">
        <f aca="false">N6+M7</f>
        <v>-297485</v>
      </c>
      <c r="O7" s="34" t="n">
        <f aca="false">1/(1+Supuestos!$C$46)^A7</f>
        <v>0.992088943446991</v>
      </c>
      <c r="P7" s="21" t="n">
        <f aca="false">M7*O7</f>
        <v>-70919.4781223082</v>
      </c>
      <c r="Q7" s="21" t="n">
        <f aca="false">Q6+P7</f>
        <v>-296919.478122308</v>
      </c>
      <c r="R7" s="35" t="n">
        <f aca="false">IF(AND(A7&gt;0,N7&gt;=0),1,0)</f>
        <v>0</v>
      </c>
      <c r="S7" s="35" t="n">
        <f aca="false">IF(AND(A7&gt;0,Q7&gt;=0),1,0)</f>
        <v>0</v>
      </c>
      <c r="U7" s="2" t="s">
        <v>122</v>
      </c>
      <c r="V7" s="31" t="n">
        <f aca="false">MAX(Supuestos!$C$13*Supuestos!$C$5,Supuestos!$C$22)</f>
        <v>94.15</v>
      </c>
    </row>
    <row r="8" customFormat="false" ht="15" hidden="false" customHeight="false" outlineLevel="0" collapsed="false">
      <c r="A8" s="24" t="n">
        <v>2</v>
      </c>
      <c r="B8" s="25" t="n">
        <f aca="false">IF(A8=0,0,IF(A8&lt;=Supuestos!$C$24,Supuestos!$C$22,IF(A8&gt;=Supuestos!$C$8,$V$7,Supuestos!$C$22+($V$7-Supuestos!$C$22)*(A8-Supuestos!$C$24)/(Supuestos!$C$8-Supuestos!$C$24))))</f>
        <v>15</v>
      </c>
      <c r="C8" s="25" t="n">
        <f aca="false">B8*Supuestos!$C$6</f>
        <v>90</v>
      </c>
      <c r="D8" s="26" t="n">
        <f aca="false">C8*Supuestos!$C$42</f>
        <v>390</v>
      </c>
      <c r="E8" s="26" t="n">
        <f aca="false">IF(A8=0,0,MAX(Supuestos!$C$23,ROUNDUP(C8/Supuestos!$C$18,0)))</f>
        <v>6</v>
      </c>
      <c r="F8" s="25" t="n">
        <f aca="false">MAX(0,E8-IF(A7=0,Supuestos!$C$23,E7))+Supuestos!$C$19*E8</f>
        <v>0.18</v>
      </c>
      <c r="G8" s="26" t="n">
        <f aca="false">IF(A8=0,0,MAX(1,ROUNDUP(B8/Supuestos!$C$21,0)))</f>
        <v>1</v>
      </c>
      <c r="H8" s="27" t="n">
        <f aca="false">D8*(Supuestos!$C$14+Supuestos!$C$7)</f>
        <v>31200</v>
      </c>
      <c r="I8" s="27" t="n">
        <f aca="false">D8*Supuestos!$C$43</f>
        <v>29055</v>
      </c>
      <c r="J8" s="27" t="n">
        <f aca="false">IF(A8=0,0,Supuestos!$C$44+G8*Supuestos!$C$26)</f>
        <v>73000</v>
      </c>
      <c r="K8" s="28" t="n">
        <f aca="false">F8*Supuestos!$C$20</f>
        <v>630</v>
      </c>
      <c r="L8" s="27" t="n">
        <f aca="false">IF(A8=0,Supuestos!$C$45,0)</f>
        <v>0</v>
      </c>
      <c r="M8" s="28" t="n">
        <f aca="false">IF(A8=0,-L8,H8-I8-J8-K8)</f>
        <v>-71485</v>
      </c>
      <c r="N8" s="28" t="n">
        <f aca="false">N7+M8</f>
        <v>-368970</v>
      </c>
      <c r="O8" s="29" t="n">
        <f aca="false">1/(1+Supuestos!$C$46)^A8</f>
        <v>0.984240471709767</v>
      </c>
      <c r="P8" s="28" t="n">
        <f aca="false">M8*O8</f>
        <v>-70358.4301201727</v>
      </c>
      <c r="Q8" s="28" t="n">
        <f aca="false">Q7+P8</f>
        <v>-367277.908242481</v>
      </c>
      <c r="R8" s="30" t="n">
        <f aca="false">IF(AND(A8&gt;0,N8&gt;=0),1,0)</f>
        <v>0</v>
      </c>
      <c r="S8" s="30" t="n">
        <f aca="false">IF(AND(A8&gt;0,Q8&gt;=0),1,0)</f>
        <v>0</v>
      </c>
      <c r="U8" s="3" t="s">
        <v>123</v>
      </c>
      <c r="V8" s="21" t="n">
        <f aca="false">SUM(P6:P66)</f>
        <v>-4031953.37969184</v>
      </c>
    </row>
    <row r="9" customFormat="false" ht="15" hidden="false" customHeight="false" outlineLevel="0" collapsed="false">
      <c r="A9" s="4" t="n">
        <v>3</v>
      </c>
      <c r="B9" s="31" t="n">
        <f aca="false">IF(A9=0,0,IF(A9&lt;=Supuestos!$C$24,Supuestos!$C$22,IF(A9&gt;=Supuestos!$C$8,$V$7,Supuestos!$C$22+($V$7-Supuestos!$C$22)*(A9-Supuestos!$C$24)/(Supuestos!$C$8-Supuestos!$C$24))))</f>
        <v>15</v>
      </c>
      <c r="C9" s="31" t="n">
        <f aca="false">B9*Supuestos!$C$6</f>
        <v>90</v>
      </c>
      <c r="D9" s="32" t="n">
        <f aca="false">C9*Supuestos!$C$42</f>
        <v>390</v>
      </c>
      <c r="E9" s="32" t="n">
        <f aca="false">IF(A9=0,0,MAX(Supuestos!$C$23,ROUNDUP(C9/Supuestos!$C$18,0)))</f>
        <v>6</v>
      </c>
      <c r="F9" s="31" t="n">
        <f aca="false">MAX(0,E9-IF(A8=0,Supuestos!$C$23,E8))+Supuestos!$C$19*E9</f>
        <v>0.18</v>
      </c>
      <c r="G9" s="32" t="n">
        <f aca="false">IF(A9=0,0,MAX(1,ROUNDUP(B9/Supuestos!$C$21,0)))</f>
        <v>1</v>
      </c>
      <c r="H9" s="33" t="n">
        <f aca="false">D9*(Supuestos!$C$14+Supuestos!$C$7)</f>
        <v>31200</v>
      </c>
      <c r="I9" s="33" t="n">
        <f aca="false">D9*Supuestos!$C$43</f>
        <v>29055</v>
      </c>
      <c r="J9" s="33" t="n">
        <f aca="false">IF(A9=0,0,Supuestos!$C$44+G9*Supuestos!$C$26)</f>
        <v>73000</v>
      </c>
      <c r="K9" s="21" t="n">
        <f aca="false">F9*Supuestos!$C$20</f>
        <v>630</v>
      </c>
      <c r="L9" s="33" t="n">
        <f aca="false">IF(A9=0,Supuestos!$C$45,0)</f>
        <v>0</v>
      </c>
      <c r="M9" s="21" t="n">
        <f aca="false">IF(A9=0,-L9,H9-I9-J9-K9)</f>
        <v>-71485</v>
      </c>
      <c r="N9" s="21" t="n">
        <f aca="false">N8+M9</f>
        <v>-440455</v>
      </c>
      <c r="O9" s="34" t="n">
        <f aca="false">1/(1+Supuestos!$C$46)^A9</f>
        <v>0.976454089676311</v>
      </c>
      <c r="P9" s="21" t="n">
        <f aca="false">M9*O9</f>
        <v>-69801.8206005111</v>
      </c>
      <c r="Q9" s="21" t="n">
        <f aca="false">Q8+P9</f>
        <v>-437079.728842992</v>
      </c>
      <c r="R9" s="35" t="n">
        <f aca="false">IF(AND(A9&gt;0,N9&gt;=0),1,0)</f>
        <v>0</v>
      </c>
      <c r="S9" s="35" t="n">
        <f aca="false">IF(AND(A9&gt;0,Q9&gt;=0),1,0)</f>
        <v>0</v>
      </c>
      <c r="U9" s="2" t="s">
        <v>124</v>
      </c>
      <c r="V9" s="36" t="str">
        <f aca="false">IFERROR(IRR(M6:M66,0.02),"No existe")</f>
        <v>No existe</v>
      </c>
    </row>
    <row r="10" customFormat="false" ht="15" hidden="false" customHeight="false" outlineLevel="0" collapsed="false">
      <c r="A10" s="24" t="n">
        <v>4</v>
      </c>
      <c r="B10" s="25" t="n">
        <f aca="false">IF(A10=0,0,IF(A10&lt;=Supuestos!$C$24,Supuestos!$C$22,IF(A10&gt;=Supuestos!$C$8,$V$7,Supuestos!$C$22+($V$7-Supuestos!$C$22)*(A10-Supuestos!$C$24)/(Supuestos!$C$8-Supuestos!$C$24))))</f>
        <v>15</v>
      </c>
      <c r="C10" s="25" t="n">
        <f aca="false">B10*Supuestos!$C$6</f>
        <v>90</v>
      </c>
      <c r="D10" s="26" t="n">
        <f aca="false">C10*Supuestos!$C$42</f>
        <v>390</v>
      </c>
      <c r="E10" s="26" t="n">
        <f aca="false">IF(A10=0,0,MAX(Supuestos!$C$23,ROUNDUP(C10/Supuestos!$C$18,0)))</f>
        <v>6</v>
      </c>
      <c r="F10" s="25" t="n">
        <f aca="false">MAX(0,E10-IF(A9=0,Supuestos!$C$23,E9))+Supuestos!$C$19*E10</f>
        <v>0.18</v>
      </c>
      <c r="G10" s="26" t="n">
        <f aca="false">IF(A10=0,0,MAX(1,ROUNDUP(B10/Supuestos!$C$21,0)))</f>
        <v>1</v>
      </c>
      <c r="H10" s="27" t="n">
        <f aca="false">D10*(Supuestos!$C$14+Supuestos!$C$7)</f>
        <v>31200</v>
      </c>
      <c r="I10" s="27" t="n">
        <f aca="false">D10*Supuestos!$C$43</f>
        <v>29055</v>
      </c>
      <c r="J10" s="27" t="n">
        <f aca="false">IF(A10=0,0,Supuestos!$C$44+G10*Supuestos!$C$26)</f>
        <v>73000</v>
      </c>
      <c r="K10" s="28" t="n">
        <f aca="false">F10*Supuestos!$C$20</f>
        <v>630</v>
      </c>
      <c r="L10" s="27" t="n">
        <f aca="false">IF(A10=0,Supuestos!$C$45,0)</f>
        <v>0</v>
      </c>
      <c r="M10" s="28" t="n">
        <f aca="false">IF(A10=0,-L10,H10-I10-J10-K10)</f>
        <v>-71485</v>
      </c>
      <c r="N10" s="28" t="n">
        <f aca="false">N9+M10</f>
        <v>-511940</v>
      </c>
      <c r="O10" s="29" t="n">
        <f aca="false">1/(1+Supuestos!$C$46)^A10</f>
        <v>0.968729306151464</v>
      </c>
      <c r="P10" s="28" t="n">
        <f aca="false">M10*O10</f>
        <v>-69249.6144502374</v>
      </c>
      <c r="Q10" s="28" t="n">
        <f aca="false">Q9+P10</f>
        <v>-506329.343293229</v>
      </c>
      <c r="R10" s="30" t="n">
        <f aca="false">IF(AND(A10&gt;0,N10&gt;=0),1,0)</f>
        <v>0</v>
      </c>
      <c r="S10" s="30" t="n">
        <f aca="false">IF(AND(A10&gt;0,Q10&gt;=0),1,0)</f>
        <v>0</v>
      </c>
      <c r="U10" s="3" t="s">
        <v>125</v>
      </c>
      <c r="V10" s="13" t="str">
        <f aca="false">IFERROR((1+V9)^12-1,"No existe")</f>
        <v>No existe</v>
      </c>
    </row>
    <row r="11" customFormat="false" ht="15" hidden="false" customHeight="false" outlineLevel="0" collapsed="false">
      <c r="A11" s="4" t="n">
        <v>5</v>
      </c>
      <c r="B11" s="31" t="n">
        <f aca="false">IF(A11=0,0,IF(A11&lt;=Supuestos!$C$24,Supuestos!$C$22,IF(A11&gt;=Supuestos!$C$8,$V$7,Supuestos!$C$22+($V$7-Supuestos!$C$22)*(A11-Supuestos!$C$24)/(Supuestos!$C$8-Supuestos!$C$24))))</f>
        <v>15</v>
      </c>
      <c r="C11" s="31" t="n">
        <f aca="false">B11*Supuestos!$C$6</f>
        <v>90</v>
      </c>
      <c r="D11" s="32" t="n">
        <f aca="false">C11*Supuestos!$C$42</f>
        <v>390</v>
      </c>
      <c r="E11" s="32" t="n">
        <f aca="false">IF(A11=0,0,MAX(Supuestos!$C$23,ROUNDUP(C11/Supuestos!$C$18,0)))</f>
        <v>6</v>
      </c>
      <c r="F11" s="31" t="n">
        <f aca="false">MAX(0,E11-IF(A10=0,Supuestos!$C$23,E10))+Supuestos!$C$19*E11</f>
        <v>0.18</v>
      </c>
      <c r="G11" s="32" t="n">
        <f aca="false">IF(A11=0,0,MAX(1,ROUNDUP(B11/Supuestos!$C$21,0)))</f>
        <v>1</v>
      </c>
      <c r="H11" s="33" t="n">
        <f aca="false">D11*(Supuestos!$C$14+Supuestos!$C$7)</f>
        <v>31200</v>
      </c>
      <c r="I11" s="33" t="n">
        <f aca="false">D11*Supuestos!$C$43</f>
        <v>29055</v>
      </c>
      <c r="J11" s="33" t="n">
        <f aca="false">IF(A11=0,0,Supuestos!$C$44+G11*Supuestos!$C$26)</f>
        <v>73000</v>
      </c>
      <c r="K11" s="21" t="n">
        <f aca="false">F11*Supuestos!$C$20</f>
        <v>630</v>
      </c>
      <c r="L11" s="33" t="n">
        <f aca="false">IF(A11=0,Supuestos!$C$45,0)</f>
        <v>0</v>
      </c>
      <c r="M11" s="21" t="n">
        <f aca="false">IF(A11=0,-L11,H11-I11-J11-K11)</f>
        <v>-71485</v>
      </c>
      <c r="N11" s="21" t="n">
        <f aca="false">N10+M11</f>
        <v>-583425</v>
      </c>
      <c r="O11" s="34" t="n">
        <f aca="false">1/(1+Supuestos!$C$46)^A11</f>
        <v>0.961065633825943</v>
      </c>
      <c r="P11" s="21" t="n">
        <f aca="false">M11*O11</f>
        <v>-68701.7768340475</v>
      </c>
      <c r="Q11" s="21" t="n">
        <f aca="false">Q10+P11</f>
        <v>-575031.120127277</v>
      </c>
      <c r="R11" s="35" t="n">
        <f aca="false">IF(AND(A11&gt;0,N11&gt;=0),1,0)</f>
        <v>0</v>
      </c>
      <c r="S11" s="35" t="n">
        <f aca="false">IF(AND(A11&gt;0,Q11&gt;=0),1,0)</f>
        <v>0</v>
      </c>
      <c r="U11" s="3" t="s">
        <v>126</v>
      </c>
      <c r="V11" s="32" t="str">
        <f aca="false">IFERROR(INDEX(A6:A66,MATCH(1,R6:R66,0)),"No se recupera")</f>
        <v>No se recupera</v>
      </c>
    </row>
    <row r="12" customFormat="false" ht="15" hidden="false" customHeight="false" outlineLevel="0" collapsed="false">
      <c r="A12" s="24" t="n">
        <v>6</v>
      </c>
      <c r="B12" s="25" t="n">
        <f aca="false">IF(A12=0,0,IF(A12&lt;=Supuestos!$C$24,Supuestos!$C$22,IF(A12&gt;=Supuestos!$C$8,$V$7,Supuestos!$C$22+($V$7-Supuestos!$C$22)*(A12-Supuestos!$C$24)/(Supuestos!$C$8-Supuestos!$C$24))))</f>
        <v>15</v>
      </c>
      <c r="C12" s="25" t="n">
        <f aca="false">B12*Supuestos!$C$6</f>
        <v>90</v>
      </c>
      <c r="D12" s="26" t="n">
        <f aca="false">C12*Supuestos!$C$42</f>
        <v>390</v>
      </c>
      <c r="E12" s="26" t="n">
        <f aca="false">IF(A12=0,0,MAX(Supuestos!$C$23,ROUNDUP(C12/Supuestos!$C$18,0)))</f>
        <v>6</v>
      </c>
      <c r="F12" s="25" t="n">
        <f aca="false">MAX(0,E12-IF(A11=0,Supuestos!$C$23,E11))+Supuestos!$C$19*E12</f>
        <v>0.18</v>
      </c>
      <c r="G12" s="26" t="n">
        <f aca="false">IF(A12=0,0,MAX(1,ROUNDUP(B12/Supuestos!$C$21,0)))</f>
        <v>1</v>
      </c>
      <c r="H12" s="27" t="n">
        <f aca="false">D12*(Supuestos!$C$14+Supuestos!$C$7)</f>
        <v>31200</v>
      </c>
      <c r="I12" s="27" t="n">
        <f aca="false">D12*Supuestos!$C$43</f>
        <v>29055</v>
      </c>
      <c r="J12" s="27" t="n">
        <f aca="false">IF(A12=0,0,Supuestos!$C$44+G12*Supuestos!$C$26)</f>
        <v>73000</v>
      </c>
      <c r="K12" s="28" t="n">
        <f aca="false">F12*Supuestos!$C$20</f>
        <v>630</v>
      </c>
      <c r="L12" s="27" t="n">
        <f aca="false">IF(A12=0,Supuestos!$C$45,0)</f>
        <v>0</v>
      </c>
      <c r="M12" s="28" t="n">
        <f aca="false">IF(A12=0,-L12,H12-I12-J12-K12)</f>
        <v>-71485</v>
      </c>
      <c r="N12" s="28" t="n">
        <f aca="false">N11+M12</f>
        <v>-654910</v>
      </c>
      <c r="O12" s="29" t="n">
        <f aca="false">1/(1+Supuestos!$C$46)^A12</f>
        <v>0.953462589245592</v>
      </c>
      <c r="P12" s="28" t="n">
        <f aca="false">M12*O12</f>
        <v>-68158.2731922212</v>
      </c>
      <c r="Q12" s="28" t="n">
        <f aca="false">Q11+P12</f>
        <v>-643189.393319498</v>
      </c>
      <c r="R12" s="30" t="n">
        <f aca="false">IF(AND(A12&gt;0,N12&gt;=0),1,0)</f>
        <v>0</v>
      </c>
      <c r="S12" s="30" t="n">
        <f aca="false">IF(AND(A12&gt;0,Q12&gt;=0),1,0)</f>
        <v>0</v>
      </c>
      <c r="U12" s="2" t="s">
        <v>127</v>
      </c>
      <c r="V12" s="32" t="str">
        <f aca="false">IFERROR(INDEX(A6:A66,MATCH(1,S6:S66,0)),"No se recupera")</f>
        <v>No se recupera</v>
      </c>
    </row>
    <row r="13" customFormat="false" ht="15" hidden="false" customHeight="false" outlineLevel="0" collapsed="false">
      <c r="A13" s="4" t="n">
        <v>7</v>
      </c>
      <c r="B13" s="31" t="n">
        <f aca="false">IF(A13=0,0,IF(A13&lt;=Supuestos!$C$24,Supuestos!$C$22,IF(A13&gt;=Supuestos!$C$8,$V$7,Supuestos!$C$22+($V$7-Supuestos!$C$22)*(A13-Supuestos!$C$24)/(Supuestos!$C$8-Supuestos!$C$24))))</f>
        <v>19.3972222222222</v>
      </c>
      <c r="C13" s="31" t="n">
        <f aca="false">B13*Supuestos!$C$6</f>
        <v>116.383333333333</v>
      </c>
      <c r="D13" s="32" t="n">
        <f aca="false">C13*Supuestos!$C$42</f>
        <v>504.327777777778</v>
      </c>
      <c r="E13" s="32" t="n">
        <f aca="false">IF(A13=0,0,MAX(Supuestos!$C$23,ROUNDUP(C13/Supuestos!$C$18,0)))</f>
        <v>6</v>
      </c>
      <c r="F13" s="31" t="n">
        <f aca="false">MAX(0,E13-IF(A12=0,Supuestos!$C$23,E12))+Supuestos!$C$19*E13</f>
        <v>0.18</v>
      </c>
      <c r="G13" s="32" t="n">
        <f aca="false">IF(A13=0,0,MAX(1,ROUNDUP(B13/Supuestos!$C$21,0)))</f>
        <v>1</v>
      </c>
      <c r="H13" s="33" t="n">
        <f aca="false">D13*(Supuestos!$C$14+Supuestos!$C$7)</f>
        <v>40346.2222222222</v>
      </c>
      <c r="I13" s="33" t="n">
        <f aca="false">D13*Supuestos!$C$43</f>
        <v>37572.4194444444</v>
      </c>
      <c r="J13" s="33" t="n">
        <f aca="false">IF(A13=0,0,Supuestos!$C$44+G13*Supuestos!$C$26)</f>
        <v>73000</v>
      </c>
      <c r="K13" s="21" t="n">
        <f aca="false">F13*Supuestos!$C$20</f>
        <v>630</v>
      </c>
      <c r="L13" s="33" t="n">
        <f aca="false">IF(A13=0,Supuestos!$C$45,0)</f>
        <v>0</v>
      </c>
      <c r="M13" s="21" t="n">
        <f aca="false">IF(A13=0,-L13,H13-I13-J13-K13)</f>
        <v>-70856.1972222222</v>
      </c>
      <c r="N13" s="21" t="n">
        <f aca="false">N12+M13</f>
        <v>-725766.197222222</v>
      </c>
      <c r="O13" s="34" t="n">
        <f aca="false">1/(1+Supuestos!$C$46)^A13</f>
        <v>0.945919692780892</v>
      </c>
      <c r="P13" s="21" t="n">
        <f aca="false">M13*O13</f>
        <v>-67024.2723080667</v>
      </c>
      <c r="Q13" s="21" t="n">
        <f aca="false">Q12+P13</f>
        <v>-710213.665627565</v>
      </c>
      <c r="R13" s="35" t="n">
        <f aca="false">IF(AND(A13&gt;0,N13&gt;=0),1,0)</f>
        <v>0</v>
      </c>
      <c r="S13" s="35" t="n">
        <f aca="false">IF(AND(A13&gt;0,Q13&gt;=0),1,0)</f>
        <v>0</v>
      </c>
      <c r="U13" s="2" t="s">
        <v>128</v>
      </c>
      <c r="V13" s="21" t="n">
        <f aca="false">J66</f>
        <v>97300</v>
      </c>
    </row>
    <row r="14" customFormat="false" ht="15" hidden="false" customHeight="false" outlineLevel="0" collapsed="false">
      <c r="A14" s="24" t="n">
        <v>8</v>
      </c>
      <c r="B14" s="25" t="n">
        <f aca="false">IF(A14=0,0,IF(A14&lt;=Supuestos!$C$24,Supuestos!$C$22,IF(A14&gt;=Supuestos!$C$8,$V$7,Supuestos!$C$22+($V$7-Supuestos!$C$22)*(A14-Supuestos!$C$24)/(Supuestos!$C$8-Supuestos!$C$24))))</f>
        <v>23.7944444444444</v>
      </c>
      <c r="C14" s="25" t="n">
        <f aca="false">B14*Supuestos!$C$6</f>
        <v>142.766666666667</v>
      </c>
      <c r="D14" s="26" t="n">
        <f aca="false">C14*Supuestos!$C$42</f>
        <v>618.655555555556</v>
      </c>
      <c r="E14" s="26" t="n">
        <f aca="false">IF(A14=0,0,MAX(Supuestos!$C$23,ROUNDUP(C14/Supuestos!$C$18,0)))</f>
        <v>6</v>
      </c>
      <c r="F14" s="25" t="n">
        <f aca="false">MAX(0,E14-IF(A13=0,Supuestos!$C$23,E13))+Supuestos!$C$19*E14</f>
        <v>0.18</v>
      </c>
      <c r="G14" s="26" t="n">
        <f aca="false">IF(A14=0,0,MAX(1,ROUNDUP(B14/Supuestos!$C$21,0)))</f>
        <v>1</v>
      </c>
      <c r="H14" s="27" t="n">
        <f aca="false">D14*(Supuestos!$C$14+Supuestos!$C$7)</f>
        <v>49492.4444444444</v>
      </c>
      <c r="I14" s="27" t="n">
        <f aca="false">D14*Supuestos!$C$43</f>
        <v>46089.8388888889</v>
      </c>
      <c r="J14" s="27" t="n">
        <f aca="false">IF(A14=0,0,Supuestos!$C$44+G14*Supuestos!$C$26)</f>
        <v>73000</v>
      </c>
      <c r="K14" s="28" t="n">
        <f aca="false">F14*Supuestos!$C$20</f>
        <v>630</v>
      </c>
      <c r="L14" s="27" t="n">
        <f aca="false">IF(A14=0,Supuestos!$C$45,0)</f>
        <v>0</v>
      </c>
      <c r="M14" s="28" t="n">
        <f aca="false">IF(A14=0,-L14,H14-I14-J14-K14)</f>
        <v>-70227.3944444445</v>
      </c>
      <c r="N14" s="28" t="n">
        <f aca="false">N13+M14</f>
        <v>-795993.591666667</v>
      </c>
      <c r="O14" s="29" t="n">
        <f aca="false">1/(1+Supuestos!$C$46)^A14</f>
        <v>0.938436468596697</v>
      </c>
      <c r="P14" s="28" t="n">
        <f aca="false">M14*O14</f>
        <v>-65903.9480411918</v>
      </c>
      <c r="Q14" s="28" t="n">
        <f aca="false">Q13+P14</f>
        <v>-776117.613668756</v>
      </c>
      <c r="R14" s="30" t="n">
        <f aca="false">IF(AND(A14&gt;0,N14&gt;=0),1,0)</f>
        <v>0</v>
      </c>
      <c r="S14" s="30" t="n">
        <f aca="false">IF(AND(A14&gt;0,Q14&gt;=0),1,0)</f>
        <v>0</v>
      </c>
      <c r="U14" s="3" t="s">
        <v>129</v>
      </c>
      <c r="V14" s="32" t="n">
        <f aca="false">IF(V6&gt;0,V13/V6,"No existe")</f>
        <v>17690.9090909091</v>
      </c>
    </row>
    <row r="15" customFormat="false" ht="15" hidden="false" customHeight="false" outlineLevel="0" collapsed="false">
      <c r="A15" s="4" t="n">
        <v>9</v>
      </c>
      <c r="B15" s="31" t="n">
        <f aca="false">IF(A15=0,0,IF(A15&lt;=Supuestos!$C$24,Supuestos!$C$22,IF(A15&gt;=Supuestos!$C$8,$V$7,Supuestos!$C$22+($V$7-Supuestos!$C$22)*(A15-Supuestos!$C$24)/(Supuestos!$C$8-Supuestos!$C$24))))</f>
        <v>28.1916666666667</v>
      </c>
      <c r="C15" s="31" t="n">
        <f aca="false">B15*Supuestos!$C$6</f>
        <v>169.15</v>
      </c>
      <c r="D15" s="32" t="n">
        <f aca="false">C15*Supuestos!$C$42</f>
        <v>732.983333333334</v>
      </c>
      <c r="E15" s="32" t="n">
        <f aca="false">IF(A15=0,0,MAX(Supuestos!$C$23,ROUNDUP(C15/Supuestos!$C$18,0)))</f>
        <v>6</v>
      </c>
      <c r="F15" s="31" t="n">
        <f aca="false">MAX(0,E15-IF(A14=0,Supuestos!$C$23,E14))+Supuestos!$C$19*E15</f>
        <v>0.18</v>
      </c>
      <c r="G15" s="32" t="n">
        <f aca="false">IF(A15=0,0,MAX(1,ROUNDUP(B15/Supuestos!$C$21,0)))</f>
        <v>1</v>
      </c>
      <c r="H15" s="33" t="n">
        <f aca="false">D15*(Supuestos!$C$14+Supuestos!$C$7)</f>
        <v>58638.6666666667</v>
      </c>
      <c r="I15" s="33" t="n">
        <f aca="false">D15*Supuestos!$C$43</f>
        <v>54607.2583333333</v>
      </c>
      <c r="J15" s="33" t="n">
        <f aca="false">IF(A15=0,0,Supuestos!$C$44+G15*Supuestos!$C$26)</f>
        <v>73000</v>
      </c>
      <c r="K15" s="21" t="n">
        <f aca="false">F15*Supuestos!$C$20</f>
        <v>630</v>
      </c>
      <c r="L15" s="33" t="n">
        <f aca="false">IF(A15=0,Supuestos!$C$45,0)</f>
        <v>0</v>
      </c>
      <c r="M15" s="21" t="n">
        <f aca="false">IF(A15=0,-L15,H15-I15-J15-K15)</f>
        <v>-69598.5916666667</v>
      </c>
      <c r="N15" s="21" t="n">
        <f aca="false">N14+M15</f>
        <v>-865592.183333333</v>
      </c>
      <c r="O15" s="34" t="n">
        <f aca="false">1/(1+Supuestos!$C$46)^A15</f>
        <v>0.931012444622223</v>
      </c>
      <c r="P15" s="21" t="n">
        <f aca="false">M15*O15</f>
        <v>-64797.1549698472</v>
      </c>
      <c r="Q15" s="21" t="n">
        <f aca="false">Q14+P15</f>
        <v>-840914.768638604</v>
      </c>
      <c r="R15" s="35" t="n">
        <f aca="false">IF(AND(A15&gt;0,N15&gt;=0),1,0)</f>
        <v>0</v>
      </c>
      <c r="S15" s="35" t="n">
        <f aca="false">IF(AND(A15&gt;0,Q15&gt;=0),1,0)</f>
        <v>0</v>
      </c>
      <c r="U15" s="2" t="s">
        <v>130</v>
      </c>
      <c r="V15" s="31" t="n">
        <f aca="false">IF(V6&gt;0,V14/Supuestos!$C$42/Supuestos!$C$6,"No existe")</f>
        <v>680.419580419581</v>
      </c>
    </row>
    <row r="16" customFormat="false" ht="15" hidden="false" customHeight="false" outlineLevel="0" collapsed="false">
      <c r="A16" s="24" t="n">
        <v>10</v>
      </c>
      <c r="B16" s="25" t="n">
        <f aca="false">IF(A16=0,0,IF(A16&lt;=Supuestos!$C$24,Supuestos!$C$22,IF(A16&gt;=Supuestos!$C$8,$V$7,Supuestos!$C$22+($V$7-Supuestos!$C$22)*(A16-Supuestos!$C$24)/(Supuestos!$C$8-Supuestos!$C$24))))</f>
        <v>32.5888888888889</v>
      </c>
      <c r="C16" s="25" t="n">
        <f aca="false">B16*Supuestos!$C$6</f>
        <v>195.533333333333</v>
      </c>
      <c r="D16" s="26" t="n">
        <f aca="false">C16*Supuestos!$C$42</f>
        <v>847.311111111111</v>
      </c>
      <c r="E16" s="26" t="n">
        <f aca="false">IF(A16=0,0,MAX(Supuestos!$C$23,ROUNDUP(C16/Supuestos!$C$18,0)))</f>
        <v>7</v>
      </c>
      <c r="F16" s="25" t="n">
        <f aca="false">MAX(0,E16-IF(A15=0,Supuestos!$C$23,E15))+Supuestos!$C$19*E16</f>
        <v>1.21</v>
      </c>
      <c r="G16" s="26" t="n">
        <f aca="false">IF(A16=0,0,MAX(1,ROUNDUP(B16/Supuestos!$C$21,0)))</f>
        <v>1</v>
      </c>
      <c r="H16" s="27" t="n">
        <f aca="false">D16*(Supuestos!$C$14+Supuestos!$C$7)</f>
        <v>67784.8888888889</v>
      </c>
      <c r="I16" s="27" t="n">
        <f aca="false">D16*Supuestos!$C$43</f>
        <v>63124.6777777778</v>
      </c>
      <c r="J16" s="27" t="n">
        <f aca="false">IF(A16=0,0,Supuestos!$C$44+G16*Supuestos!$C$26)</f>
        <v>73000</v>
      </c>
      <c r="K16" s="28" t="n">
        <f aca="false">F16*Supuestos!$C$20</f>
        <v>4235</v>
      </c>
      <c r="L16" s="27" t="n">
        <f aca="false">IF(A16=0,Supuestos!$C$45,0)</f>
        <v>0</v>
      </c>
      <c r="M16" s="28" t="n">
        <f aca="false">IF(A16=0,-L16,H16-I16-J16-K16)</f>
        <v>-72574.7888888889</v>
      </c>
      <c r="N16" s="28" t="n">
        <f aca="false">N15+M16</f>
        <v>-938166.972222222</v>
      </c>
      <c r="O16" s="29" t="n">
        <f aca="false">1/(1+Supuestos!$C$46)^A16</f>
        <v>0.923647152521261</v>
      </c>
      <c r="P16" s="28" t="n">
        <f aca="false">M16*O16</f>
        <v>-67033.4971020539</v>
      </c>
      <c r="Q16" s="28" t="n">
        <f aca="false">Q15+P16</f>
        <v>-907948.265740658</v>
      </c>
      <c r="R16" s="30" t="n">
        <f aca="false">IF(AND(A16&gt;0,N16&gt;=0),1,0)</f>
        <v>0</v>
      </c>
      <c r="S16" s="30" t="n">
        <f aca="false">IF(AND(A16&gt;0,Q16&gt;=0),1,0)</f>
        <v>0</v>
      </c>
      <c r="U16" s="2" t="s">
        <v>131</v>
      </c>
      <c r="V16" s="21" t="n">
        <f aca="false">N66</f>
        <v>-5078090.52499999</v>
      </c>
    </row>
    <row r="17" customFormat="false" ht="15" hidden="false" customHeight="false" outlineLevel="0" collapsed="false">
      <c r="A17" s="4" t="n">
        <v>11</v>
      </c>
      <c r="B17" s="31" t="n">
        <f aca="false">IF(A17=0,0,IF(A17&lt;=Supuestos!$C$24,Supuestos!$C$22,IF(A17&gt;=Supuestos!$C$8,$V$7,Supuestos!$C$22+($V$7-Supuestos!$C$22)*(A17-Supuestos!$C$24)/(Supuestos!$C$8-Supuestos!$C$24))))</f>
        <v>36.9861111111111</v>
      </c>
      <c r="C17" s="31" t="n">
        <f aca="false">B17*Supuestos!$C$6</f>
        <v>221.916666666667</v>
      </c>
      <c r="D17" s="32" t="n">
        <f aca="false">C17*Supuestos!$C$42</f>
        <v>961.638888888889</v>
      </c>
      <c r="E17" s="32" t="n">
        <f aca="false">IF(A17=0,0,MAX(Supuestos!$C$23,ROUNDUP(C17/Supuestos!$C$18,0)))</f>
        <v>8</v>
      </c>
      <c r="F17" s="31" t="n">
        <f aca="false">MAX(0,E17-IF(A16=0,Supuestos!$C$23,E16))+Supuestos!$C$19*E17</f>
        <v>1.24</v>
      </c>
      <c r="G17" s="32" t="n">
        <f aca="false">IF(A17=0,0,MAX(1,ROUNDUP(B17/Supuestos!$C$21,0)))</f>
        <v>1</v>
      </c>
      <c r="H17" s="33" t="n">
        <f aca="false">D17*(Supuestos!$C$14+Supuestos!$C$7)</f>
        <v>76931.1111111111</v>
      </c>
      <c r="I17" s="33" t="n">
        <f aca="false">D17*Supuestos!$C$43</f>
        <v>71642.0972222222</v>
      </c>
      <c r="J17" s="33" t="n">
        <f aca="false">IF(A17=0,0,Supuestos!$C$44+G17*Supuestos!$C$26)</f>
        <v>73000</v>
      </c>
      <c r="K17" s="21" t="n">
        <f aca="false">F17*Supuestos!$C$20</f>
        <v>4340</v>
      </c>
      <c r="L17" s="33" t="n">
        <f aca="false">IF(A17=0,Supuestos!$C$45,0)</f>
        <v>0</v>
      </c>
      <c r="M17" s="21" t="n">
        <f aca="false">IF(A17=0,-L17,H17-I17-J17-K17)</f>
        <v>-72050.9861111111</v>
      </c>
      <c r="N17" s="21" t="n">
        <f aca="false">N16+M17</f>
        <v>-1010217.95833333</v>
      </c>
      <c r="O17" s="34" t="n">
        <f aca="false">1/(1+Supuestos!$C$46)^A17</f>
        <v>0.916340127662639</v>
      </c>
      <c r="P17" s="21" t="n">
        <f aca="false">M17*O17</f>
        <v>-66023.2098112746</v>
      </c>
      <c r="Q17" s="21" t="n">
        <f aca="false">Q16+P17</f>
        <v>-973971.475551932</v>
      </c>
      <c r="R17" s="35" t="n">
        <f aca="false">IF(AND(A17&gt;0,N17&gt;=0),1,0)</f>
        <v>0</v>
      </c>
      <c r="S17" s="35" t="n">
        <f aca="false">IF(AND(A17&gt;0,Q17&gt;=0),1,0)</f>
        <v>0</v>
      </c>
      <c r="U17" s="2" t="s">
        <v>132</v>
      </c>
      <c r="V17" s="21" t="n">
        <f aca="false">L6</f>
        <v>226000</v>
      </c>
    </row>
    <row r="18" customFormat="false" ht="15" hidden="false" customHeight="false" outlineLevel="0" collapsed="false">
      <c r="A18" s="24" t="n">
        <v>12</v>
      </c>
      <c r="B18" s="25" t="n">
        <f aca="false">IF(A18=0,0,IF(A18&lt;=Supuestos!$C$24,Supuestos!$C$22,IF(A18&gt;=Supuestos!$C$8,$V$7,Supuestos!$C$22+($V$7-Supuestos!$C$22)*(A18-Supuestos!$C$24)/(Supuestos!$C$8-Supuestos!$C$24))))</f>
        <v>41.3833333333333</v>
      </c>
      <c r="C18" s="25" t="n">
        <f aca="false">B18*Supuestos!$C$6</f>
        <v>248.3</v>
      </c>
      <c r="D18" s="26" t="n">
        <f aca="false">C18*Supuestos!$C$42</f>
        <v>1075.96666666667</v>
      </c>
      <c r="E18" s="26" t="n">
        <f aca="false">IF(A18=0,0,MAX(Supuestos!$C$23,ROUNDUP(C18/Supuestos!$C$18,0)))</f>
        <v>9</v>
      </c>
      <c r="F18" s="25" t="n">
        <f aca="false">MAX(0,E18-IF(A17=0,Supuestos!$C$23,E17))+Supuestos!$C$19*E18</f>
        <v>1.27</v>
      </c>
      <c r="G18" s="26" t="n">
        <f aca="false">IF(A18=0,0,MAX(1,ROUNDUP(B18/Supuestos!$C$21,0)))</f>
        <v>1</v>
      </c>
      <c r="H18" s="27" t="n">
        <f aca="false">D18*(Supuestos!$C$14+Supuestos!$C$7)</f>
        <v>86077.3333333333</v>
      </c>
      <c r="I18" s="27" t="n">
        <f aca="false">D18*Supuestos!$C$43</f>
        <v>80159.5166666667</v>
      </c>
      <c r="J18" s="27" t="n">
        <f aca="false">IF(A18=0,0,Supuestos!$C$44+G18*Supuestos!$C$26)</f>
        <v>73000</v>
      </c>
      <c r="K18" s="28" t="n">
        <f aca="false">F18*Supuestos!$C$20</f>
        <v>4445</v>
      </c>
      <c r="L18" s="27" t="n">
        <f aca="false">IF(A18=0,Supuestos!$C$45,0)</f>
        <v>0</v>
      </c>
      <c r="M18" s="28" t="n">
        <f aca="false">IF(A18=0,-L18,H18-I18-J18-K18)</f>
        <v>-71527.1833333333</v>
      </c>
      <c r="N18" s="28" t="n">
        <f aca="false">N17+M18</f>
        <v>-1081745.14166667</v>
      </c>
      <c r="O18" s="29" t="n">
        <f aca="false">1/(1+Supuestos!$C$46)^A18</f>
        <v>0.909090909090909</v>
      </c>
      <c r="P18" s="28" t="n">
        <f aca="false">M18*O18</f>
        <v>-65024.7121212121</v>
      </c>
      <c r="Q18" s="28" t="n">
        <f aca="false">Q17+P18</f>
        <v>-1038996.18767314</v>
      </c>
      <c r="R18" s="30" t="n">
        <f aca="false">IF(AND(A18&gt;0,N18&gt;=0),1,0)</f>
        <v>0</v>
      </c>
      <c r="S18" s="30" t="n">
        <f aca="false">IF(AND(A18&gt;0,Q18&gt;=0),1,0)</f>
        <v>0</v>
      </c>
      <c r="U18" s="2" t="s">
        <v>133</v>
      </c>
      <c r="V18" s="21" t="n">
        <f aca="false">3*(J7+I7)</f>
        <v>306165</v>
      </c>
    </row>
    <row r="19" customFormat="false" ht="15" hidden="false" customHeight="false" outlineLevel="0" collapsed="false">
      <c r="A19" s="4" t="n">
        <v>13</v>
      </c>
      <c r="B19" s="31" t="n">
        <f aca="false">IF(A19=0,0,IF(A19&lt;=Supuestos!$C$24,Supuestos!$C$22,IF(A19&gt;=Supuestos!$C$8,$V$7,Supuestos!$C$22+($V$7-Supuestos!$C$22)*(A19-Supuestos!$C$24)/(Supuestos!$C$8-Supuestos!$C$24))))</f>
        <v>45.7805555555556</v>
      </c>
      <c r="C19" s="31" t="n">
        <f aca="false">B19*Supuestos!$C$6</f>
        <v>274.683333333333</v>
      </c>
      <c r="D19" s="32" t="n">
        <f aca="false">C19*Supuestos!$C$42</f>
        <v>1190.29444444444</v>
      </c>
      <c r="E19" s="32" t="n">
        <f aca="false">IF(A19=0,0,MAX(Supuestos!$C$23,ROUNDUP(C19/Supuestos!$C$18,0)))</f>
        <v>10</v>
      </c>
      <c r="F19" s="31" t="n">
        <f aca="false">MAX(0,E19-IF(A18=0,Supuestos!$C$23,E18))+Supuestos!$C$19*E19</f>
        <v>1.3</v>
      </c>
      <c r="G19" s="32" t="n">
        <f aca="false">IF(A19=0,0,MAX(1,ROUNDUP(B19/Supuestos!$C$21,0)))</f>
        <v>1</v>
      </c>
      <c r="H19" s="33" t="n">
        <f aca="false">D19*(Supuestos!$C$14+Supuestos!$C$7)</f>
        <v>95223.5555555556</v>
      </c>
      <c r="I19" s="33" t="n">
        <f aca="false">D19*Supuestos!$C$43</f>
        <v>88676.9361111111</v>
      </c>
      <c r="J19" s="33" t="n">
        <f aca="false">IF(A19=0,0,Supuestos!$C$44+G19*Supuestos!$C$26)</f>
        <v>73000</v>
      </c>
      <c r="K19" s="21" t="n">
        <f aca="false">F19*Supuestos!$C$20</f>
        <v>4550</v>
      </c>
      <c r="L19" s="33" t="n">
        <f aca="false">IF(A19=0,Supuestos!$C$45,0)</f>
        <v>0</v>
      </c>
      <c r="M19" s="21" t="n">
        <f aca="false">IF(A19=0,-L19,H19-I19-J19-K19)</f>
        <v>-71003.3805555555</v>
      </c>
      <c r="N19" s="21" t="n">
        <f aca="false">N18+M19</f>
        <v>-1152748.52222222</v>
      </c>
      <c r="O19" s="34" t="n">
        <f aca="false">1/(1+Supuestos!$C$46)^A19</f>
        <v>0.901899039497264</v>
      </c>
      <c r="P19" s="21" t="n">
        <f aca="false">M19*O19</f>
        <v>-64037.8807241143</v>
      </c>
      <c r="Q19" s="21" t="n">
        <f aca="false">Q18+P19</f>
        <v>-1103034.06839726</v>
      </c>
      <c r="R19" s="35" t="n">
        <f aca="false">IF(AND(A19&gt;0,N19&gt;=0),1,0)</f>
        <v>0</v>
      </c>
      <c r="S19" s="35" t="n">
        <f aca="false">IF(AND(A19&gt;0,Q19&gt;=0),1,0)</f>
        <v>0</v>
      </c>
      <c r="U19" s="2" t="s">
        <v>78</v>
      </c>
      <c r="V19" s="21" t="n">
        <f aca="false">Supuestos!$C$36*(V17+V18)</f>
        <v>53216.5</v>
      </c>
    </row>
    <row r="20" customFormat="false" ht="15" hidden="false" customHeight="false" outlineLevel="0" collapsed="false">
      <c r="A20" s="24" t="n">
        <v>14</v>
      </c>
      <c r="B20" s="25" t="n">
        <f aca="false">IF(A20=0,0,IF(A20&lt;=Supuestos!$C$24,Supuestos!$C$22,IF(A20&gt;=Supuestos!$C$8,$V$7,Supuestos!$C$22+($V$7-Supuestos!$C$22)*(A20-Supuestos!$C$24)/(Supuestos!$C$8-Supuestos!$C$24))))</f>
        <v>50.1777777777778</v>
      </c>
      <c r="C20" s="25" t="n">
        <f aca="false">B20*Supuestos!$C$6</f>
        <v>301.066666666667</v>
      </c>
      <c r="D20" s="26" t="n">
        <f aca="false">C20*Supuestos!$C$42</f>
        <v>1304.62222222222</v>
      </c>
      <c r="E20" s="26" t="n">
        <f aca="false">IF(A20=0,0,MAX(Supuestos!$C$23,ROUNDUP(C20/Supuestos!$C$18,0)))</f>
        <v>11</v>
      </c>
      <c r="F20" s="25" t="n">
        <f aca="false">MAX(0,E20-IF(A19=0,Supuestos!$C$23,E19))+Supuestos!$C$19*E20</f>
        <v>1.33</v>
      </c>
      <c r="G20" s="26" t="n">
        <f aca="false">IF(A20=0,0,MAX(1,ROUNDUP(B20/Supuestos!$C$21,0)))</f>
        <v>1</v>
      </c>
      <c r="H20" s="27" t="n">
        <f aca="false">D20*(Supuestos!$C$14+Supuestos!$C$7)</f>
        <v>104369.777777778</v>
      </c>
      <c r="I20" s="27" t="n">
        <f aca="false">D20*Supuestos!$C$43</f>
        <v>97194.3555555555</v>
      </c>
      <c r="J20" s="27" t="n">
        <f aca="false">IF(A20=0,0,Supuestos!$C$44+G20*Supuestos!$C$26)</f>
        <v>73000</v>
      </c>
      <c r="K20" s="28" t="n">
        <f aca="false">F20*Supuestos!$C$20</f>
        <v>4655</v>
      </c>
      <c r="L20" s="27" t="n">
        <f aca="false">IF(A20=0,Supuestos!$C$45,0)</f>
        <v>0</v>
      </c>
      <c r="M20" s="28" t="n">
        <f aca="false">IF(A20=0,-L20,H20-I20-J20-K20)</f>
        <v>-70479.5777777778</v>
      </c>
      <c r="N20" s="28" t="n">
        <f aca="false">N19+M20</f>
        <v>-1223228.1</v>
      </c>
      <c r="O20" s="29" t="n">
        <f aca="false">1/(1+Supuestos!$C$46)^A20</f>
        <v>0.894764065190697</v>
      </c>
      <c r="P20" s="28" t="n">
        <f aca="false">M20*O20</f>
        <v>-63062.5935253683</v>
      </c>
      <c r="Q20" s="28" t="n">
        <f aca="false">Q19+P20</f>
        <v>-1166096.66192263</v>
      </c>
      <c r="R20" s="30" t="n">
        <f aca="false">IF(AND(A20&gt;0,N20&gt;=0),1,0)</f>
        <v>0</v>
      </c>
      <c r="S20" s="30" t="n">
        <f aca="false">IF(AND(A20&gt;0,Q20&gt;=0),1,0)</f>
        <v>0</v>
      </c>
      <c r="U20" s="3" t="s">
        <v>134</v>
      </c>
      <c r="V20" s="21" t="n">
        <f aca="false">V17+V18+V19</f>
        <v>585381.5</v>
      </c>
    </row>
    <row r="21" customFormat="false" ht="15" hidden="false" customHeight="false" outlineLevel="0" collapsed="false">
      <c r="A21" s="4" t="n">
        <v>15</v>
      </c>
      <c r="B21" s="31" t="n">
        <f aca="false">IF(A21=0,0,IF(A21&lt;=Supuestos!$C$24,Supuestos!$C$22,IF(A21&gt;=Supuestos!$C$8,$V$7,Supuestos!$C$22+($V$7-Supuestos!$C$22)*(A21-Supuestos!$C$24)/(Supuestos!$C$8-Supuestos!$C$24))))</f>
        <v>54.575</v>
      </c>
      <c r="C21" s="31" t="n">
        <f aca="false">B21*Supuestos!$C$6</f>
        <v>327.45</v>
      </c>
      <c r="D21" s="32" t="n">
        <f aca="false">C21*Supuestos!$C$42</f>
        <v>1418.95</v>
      </c>
      <c r="E21" s="32" t="n">
        <f aca="false">IF(A21=0,0,MAX(Supuestos!$C$23,ROUNDUP(C21/Supuestos!$C$18,0)))</f>
        <v>11</v>
      </c>
      <c r="F21" s="31" t="n">
        <f aca="false">MAX(0,E21-IF(A20=0,Supuestos!$C$23,E20))+Supuestos!$C$19*E21</f>
        <v>0.33</v>
      </c>
      <c r="G21" s="32" t="n">
        <f aca="false">IF(A21=0,0,MAX(1,ROUNDUP(B21/Supuestos!$C$21,0)))</f>
        <v>1</v>
      </c>
      <c r="H21" s="33" t="n">
        <f aca="false">D21*(Supuestos!$C$14+Supuestos!$C$7)</f>
        <v>113516</v>
      </c>
      <c r="I21" s="33" t="n">
        <f aca="false">D21*Supuestos!$C$43</f>
        <v>105711.775</v>
      </c>
      <c r="J21" s="33" t="n">
        <f aca="false">IF(A21=0,0,Supuestos!$C$44+G21*Supuestos!$C$26)</f>
        <v>73000</v>
      </c>
      <c r="K21" s="21" t="n">
        <f aca="false">F21*Supuestos!$C$20</f>
        <v>1155</v>
      </c>
      <c r="L21" s="33" t="n">
        <f aca="false">IF(A21=0,Supuestos!$C$45,0)</f>
        <v>0</v>
      </c>
      <c r="M21" s="21" t="n">
        <f aca="false">IF(A21=0,-L21,H21-I21-J21-K21)</f>
        <v>-66350.775</v>
      </c>
      <c r="N21" s="21" t="n">
        <f aca="false">N20+M21</f>
        <v>-1289578.875</v>
      </c>
      <c r="O21" s="34" t="n">
        <f aca="false">1/(1+Supuestos!$C$46)^A21</f>
        <v>0.887685536069373</v>
      </c>
      <c r="P21" s="21" t="n">
        <f aca="false">M21*O21</f>
        <v>-58898.6232744934</v>
      </c>
      <c r="Q21" s="21" t="n">
        <f aca="false">Q20+P21</f>
        <v>-1224995.28519712</v>
      </c>
      <c r="R21" s="35" t="n">
        <f aca="false">IF(AND(A21&gt;0,N21&gt;=0),1,0)</f>
        <v>0</v>
      </c>
      <c r="S21" s="35" t="n">
        <f aca="false">IF(AND(A21&gt;0,Q21&gt;=0),1,0)</f>
        <v>0</v>
      </c>
      <c r="U21" s="2" t="s">
        <v>135</v>
      </c>
      <c r="V21" s="21" t="n">
        <f aca="false">-MIN(0,MIN(N6:N66))</f>
        <v>5078090.52499999</v>
      </c>
    </row>
    <row r="22" customFormat="false" ht="15" hidden="false" customHeight="false" outlineLevel="0" collapsed="false">
      <c r="A22" s="24" t="n">
        <v>16</v>
      </c>
      <c r="B22" s="25" t="n">
        <f aca="false">IF(A22=0,0,IF(A22&lt;=Supuestos!$C$24,Supuestos!$C$22,IF(A22&gt;=Supuestos!$C$8,$V$7,Supuestos!$C$22+($V$7-Supuestos!$C$22)*(A22-Supuestos!$C$24)/(Supuestos!$C$8-Supuestos!$C$24))))</f>
        <v>58.9722222222222</v>
      </c>
      <c r="C22" s="25" t="n">
        <f aca="false">B22*Supuestos!$C$6</f>
        <v>353.833333333333</v>
      </c>
      <c r="D22" s="26" t="n">
        <f aca="false">C22*Supuestos!$C$42</f>
        <v>1533.27777777778</v>
      </c>
      <c r="E22" s="26" t="n">
        <f aca="false">IF(A22=0,0,MAX(Supuestos!$C$23,ROUNDUP(C22/Supuestos!$C$18,0)))</f>
        <v>12</v>
      </c>
      <c r="F22" s="25" t="n">
        <f aca="false">MAX(0,E22-IF(A21=0,Supuestos!$C$23,E21))+Supuestos!$C$19*E22</f>
        <v>1.36</v>
      </c>
      <c r="G22" s="26" t="n">
        <f aca="false">IF(A22=0,0,MAX(1,ROUNDUP(B22/Supuestos!$C$21,0)))</f>
        <v>1</v>
      </c>
      <c r="H22" s="27" t="n">
        <f aca="false">D22*(Supuestos!$C$14+Supuestos!$C$7)</f>
        <v>122662.222222222</v>
      </c>
      <c r="I22" s="27" t="n">
        <f aca="false">D22*Supuestos!$C$43</f>
        <v>114229.194444444</v>
      </c>
      <c r="J22" s="27" t="n">
        <f aca="false">IF(A22=0,0,Supuestos!$C$44+G22*Supuestos!$C$26)</f>
        <v>73000</v>
      </c>
      <c r="K22" s="28" t="n">
        <f aca="false">F22*Supuestos!$C$20</f>
        <v>4760</v>
      </c>
      <c r="L22" s="27" t="n">
        <f aca="false">IF(A22=0,Supuestos!$C$45,0)</f>
        <v>0</v>
      </c>
      <c r="M22" s="28" t="n">
        <f aca="false">IF(A22=0,-L22,H22-I22-J22-K22)</f>
        <v>-69326.9722222222</v>
      </c>
      <c r="N22" s="28" t="n">
        <f aca="false">N21+M22</f>
        <v>-1358905.84722222</v>
      </c>
      <c r="O22" s="29" t="n">
        <f aca="false">1/(1+Supuestos!$C$46)^A22</f>
        <v>0.88066300559224</v>
      </c>
      <c r="P22" s="28" t="n">
        <f aca="false">M22*O22</f>
        <v>-61053.699725832</v>
      </c>
      <c r="Q22" s="28" t="n">
        <f aca="false">Q21+P22</f>
        <v>-1286048.98492295</v>
      </c>
      <c r="R22" s="30" t="n">
        <f aca="false">IF(AND(A22&gt;0,N22&gt;=0),1,0)</f>
        <v>0</v>
      </c>
      <c r="S22" s="30" t="n">
        <f aca="false">IF(AND(A22&gt;0,Q22&gt;=0),1,0)</f>
        <v>0</v>
      </c>
      <c r="U22" s="2" t="s">
        <v>136</v>
      </c>
      <c r="V22" s="31" t="n">
        <f aca="false">B66</f>
        <v>94.15</v>
      </c>
    </row>
    <row r="23" customFormat="false" ht="15" hidden="false" customHeight="false" outlineLevel="0" collapsed="false">
      <c r="A23" s="4" t="n">
        <v>17</v>
      </c>
      <c r="B23" s="31" t="n">
        <f aca="false">IF(A23=0,0,IF(A23&lt;=Supuestos!$C$24,Supuestos!$C$22,IF(A23&gt;=Supuestos!$C$8,$V$7,Supuestos!$C$22+($V$7-Supuestos!$C$22)*(A23-Supuestos!$C$24)/(Supuestos!$C$8-Supuestos!$C$24))))</f>
        <v>63.3694444444445</v>
      </c>
      <c r="C23" s="31" t="n">
        <f aca="false">B23*Supuestos!$C$6</f>
        <v>380.216666666667</v>
      </c>
      <c r="D23" s="32" t="n">
        <f aca="false">C23*Supuestos!$C$42</f>
        <v>1647.60555555556</v>
      </c>
      <c r="E23" s="32" t="n">
        <f aca="false">IF(A23=0,0,MAX(Supuestos!$C$23,ROUNDUP(C23/Supuestos!$C$18,0)))</f>
        <v>13</v>
      </c>
      <c r="F23" s="31" t="n">
        <f aca="false">MAX(0,E23-IF(A22=0,Supuestos!$C$23,E22))+Supuestos!$C$19*E23</f>
        <v>1.39</v>
      </c>
      <c r="G23" s="32" t="n">
        <f aca="false">IF(A23=0,0,MAX(1,ROUNDUP(B23/Supuestos!$C$21,0)))</f>
        <v>1</v>
      </c>
      <c r="H23" s="33" t="n">
        <f aca="false">D23*(Supuestos!$C$14+Supuestos!$C$7)</f>
        <v>131808.444444444</v>
      </c>
      <c r="I23" s="33" t="n">
        <f aca="false">D23*Supuestos!$C$43</f>
        <v>122746.613888889</v>
      </c>
      <c r="J23" s="33" t="n">
        <f aca="false">IF(A23=0,0,Supuestos!$C$44+G23*Supuestos!$C$26)</f>
        <v>73000</v>
      </c>
      <c r="K23" s="21" t="n">
        <f aca="false">F23*Supuestos!$C$20</f>
        <v>4865</v>
      </c>
      <c r="L23" s="33" t="n">
        <f aca="false">IF(A23=0,Supuestos!$C$45,0)</f>
        <v>0</v>
      </c>
      <c r="M23" s="21" t="n">
        <f aca="false">IF(A23=0,-L23,H23-I23-J23-K23)</f>
        <v>-68803.1694444445</v>
      </c>
      <c r="N23" s="21" t="n">
        <f aca="false">N22+M23</f>
        <v>-1427709.01666667</v>
      </c>
      <c r="O23" s="34" t="n">
        <f aca="false">1/(1+Supuestos!$C$46)^A23</f>
        <v>0.873696030750857</v>
      </c>
      <c r="P23" s="21" t="n">
        <f aca="false">M23*O23</f>
        <v>-60113.0560466897</v>
      </c>
      <c r="Q23" s="21" t="n">
        <f aca="false">Q22+P23</f>
        <v>-1346162.04096964</v>
      </c>
      <c r="R23" s="35" t="n">
        <f aca="false">IF(AND(A23&gt;0,N23&gt;=0),1,0)</f>
        <v>0</v>
      </c>
      <c r="S23" s="35" t="n">
        <f aca="false">IF(AND(A23&gt;0,Q23&gt;=0),1,0)</f>
        <v>0</v>
      </c>
      <c r="U23" s="2" t="s">
        <v>137</v>
      </c>
      <c r="V23" s="32" t="n">
        <f aca="false">D66</f>
        <v>2447.9</v>
      </c>
    </row>
    <row r="24" customFormat="false" ht="15" hidden="false" customHeight="false" outlineLevel="0" collapsed="false">
      <c r="A24" s="24" t="n">
        <v>18</v>
      </c>
      <c r="B24" s="25" t="n">
        <f aca="false">IF(A24=0,0,IF(A24&lt;=Supuestos!$C$24,Supuestos!$C$22,IF(A24&gt;=Supuestos!$C$8,$V$7,Supuestos!$C$22+($V$7-Supuestos!$C$22)*(A24-Supuestos!$C$24)/(Supuestos!$C$8-Supuestos!$C$24))))</f>
        <v>67.7666666666667</v>
      </c>
      <c r="C24" s="25" t="n">
        <f aca="false">B24*Supuestos!$C$6</f>
        <v>406.6</v>
      </c>
      <c r="D24" s="26" t="n">
        <f aca="false">C24*Supuestos!$C$42</f>
        <v>1761.93333333333</v>
      </c>
      <c r="E24" s="26" t="n">
        <f aca="false">IF(A24=0,0,MAX(Supuestos!$C$23,ROUNDUP(C24/Supuestos!$C$18,0)))</f>
        <v>14</v>
      </c>
      <c r="F24" s="25" t="n">
        <f aca="false">MAX(0,E24-IF(A23=0,Supuestos!$C$23,E23))+Supuestos!$C$19*E24</f>
        <v>1.42</v>
      </c>
      <c r="G24" s="26" t="n">
        <f aca="false">IF(A24=0,0,MAX(1,ROUNDUP(B24/Supuestos!$C$21,0)))</f>
        <v>1</v>
      </c>
      <c r="H24" s="27" t="n">
        <f aca="false">D24*(Supuestos!$C$14+Supuestos!$C$7)</f>
        <v>140954.666666667</v>
      </c>
      <c r="I24" s="27" t="n">
        <f aca="false">D24*Supuestos!$C$43</f>
        <v>131264.033333333</v>
      </c>
      <c r="J24" s="27" t="n">
        <f aca="false">IF(A24=0,0,Supuestos!$C$44+G24*Supuestos!$C$26)</f>
        <v>73000</v>
      </c>
      <c r="K24" s="28" t="n">
        <f aca="false">F24*Supuestos!$C$20</f>
        <v>4970</v>
      </c>
      <c r="L24" s="27" t="n">
        <f aca="false">IF(A24=0,Supuestos!$C$45,0)</f>
        <v>0</v>
      </c>
      <c r="M24" s="28" t="n">
        <f aca="false">IF(A24=0,-L24,H24-I24-J24-K24)</f>
        <v>-68279.3666666667</v>
      </c>
      <c r="N24" s="28" t="n">
        <f aca="false">N23+M24</f>
        <v>-1495988.38333333</v>
      </c>
      <c r="O24" s="29" t="n">
        <f aca="false">1/(1+Supuestos!$C$46)^A24</f>
        <v>0.866784172041447</v>
      </c>
      <c r="P24" s="28" t="n">
        <f aca="false">M24*O24</f>
        <v>-59183.4743036811</v>
      </c>
      <c r="Q24" s="28" t="n">
        <f aca="false">Q23+P24</f>
        <v>-1405345.51527332</v>
      </c>
      <c r="R24" s="30" t="n">
        <f aca="false">IF(AND(A24&gt;0,N24&gt;=0),1,0)</f>
        <v>0</v>
      </c>
      <c r="S24" s="30" t="n">
        <f aca="false">IF(AND(A24&gt;0,Q24&gt;=0),1,0)</f>
        <v>0</v>
      </c>
      <c r="U24" s="2" t="s">
        <v>138</v>
      </c>
      <c r="V24" s="32" t="n">
        <f aca="false">E66</f>
        <v>19</v>
      </c>
    </row>
    <row r="25" customFormat="false" ht="15" hidden="false" customHeight="false" outlineLevel="0" collapsed="false">
      <c r="A25" s="4" t="n">
        <v>19</v>
      </c>
      <c r="B25" s="31" t="n">
        <f aca="false">IF(A25=0,0,IF(A25&lt;=Supuestos!$C$24,Supuestos!$C$22,IF(A25&gt;=Supuestos!$C$8,$V$7,Supuestos!$C$22+($V$7-Supuestos!$C$22)*(A25-Supuestos!$C$24)/(Supuestos!$C$8-Supuestos!$C$24))))</f>
        <v>72.1638888888889</v>
      </c>
      <c r="C25" s="31" t="n">
        <f aca="false">B25*Supuestos!$C$6</f>
        <v>432.983333333333</v>
      </c>
      <c r="D25" s="32" t="n">
        <f aca="false">C25*Supuestos!$C$42</f>
        <v>1876.26111111111</v>
      </c>
      <c r="E25" s="32" t="n">
        <f aca="false">IF(A25=0,0,MAX(Supuestos!$C$23,ROUNDUP(C25/Supuestos!$C$18,0)))</f>
        <v>15</v>
      </c>
      <c r="F25" s="31" t="n">
        <f aca="false">MAX(0,E25-IF(A24=0,Supuestos!$C$23,E24))+Supuestos!$C$19*E25</f>
        <v>1.45</v>
      </c>
      <c r="G25" s="32" t="n">
        <f aca="false">IF(A25=0,0,MAX(1,ROUNDUP(B25/Supuestos!$C$21,0)))</f>
        <v>1</v>
      </c>
      <c r="H25" s="33" t="n">
        <f aca="false">D25*(Supuestos!$C$14+Supuestos!$C$7)</f>
        <v>150100.888888889</v>
      </c>
      <c r="I25" s="33" t="n">
        <f aca="false">D25*Supuestos!$C$43</f>
        <v>139781.452777778</v>
      </c>
      <c r="J25" s="33" t="n">
        <f aca="false">IF(A25=0,0,Supuestos!$C$44+G25*Supuestos!$C$26)</f>
        <v>73000</v>
      </c>
      <c r="K25" s="21" t="n">
        <f aca="false">F25*Supuestos!$C$20</f>
        <v>5075</v>
      </c>
      <c r="L25" s="33" t="n">
        <f aca="false">IF(A25=0,Supuestos!$C$45,0)</f>
        <v>0</v>
      </c>
      <c r="M25" s="21" t="n">
        <f aca="false">IF(A25=0,-L25,H25-I25-J25-K25)</f>
        <v>-67755.5638888889</v>
      </c>
      <c r="N25" s="21" t="n">
        <f aca="false">N24+M25</f>
        <v>-1563743.94722222</v>
      </c>
      <c r="O25" s="34" t="n">
        <f aca="false">1/(1+Supuestos!$C$46)^A25</f>
        <v>0.859926993437174</v>
      </c>
      <c r="P25" s="21" t="n">
        <f aca="false">M25*O25</f>
        <v>-58264.8383436126</v>
      </c>
      <c r="Q25" s="21" t="n">
        <f aca="false">Q24+P25</f>
        <v>-1463610.35361694</v>
      </c>
      <c r="R25" s="35" t="n">
        <f aca="false">IF(AND(A25&gt;0,N25&gt;=0),1,0)</f>
        <v>0</v>
      </c>
      <c r="S25" s="35" t="n">
        <f aca="false">IF(AND(A25&gt;0,Q25&gt;=0),1,0)</f>
        <v>0</v>
      </c>
      <c r="U25" s="2" t="s">
        <v>139</v>
      </c>
      <c r="V25" s="31" t="n">
        <f aca="false">INDEX(B6:B66,(Supuestos!$C$37+1))</f>
        <v>41.3833333333333</v>
      </c>
    </row>
    <row r="26" customFormat="false" ht="15" hidden="false" customHeight="false" outlineLevel="0" collapsed="false">
      <c r="A26" s="24" t="n">
        <v>20</v>
      </c>
      <c r="B26" s="25" t="n">
        <f aca="false">IF(A26=0,0,IF(A26&lt;=Supuestos!$C$24,Supuestos!$C$22,IF(A26&gt;=Supuestos!$C$8,$V$7,Supuestos!$C$22+($V$7-Supuestos!$C$22)*(A26-Supuestos!$C$24)/(Supuestos!$C$8-Supuestos!$C$24))))</f>
        <v>76.5611111111111</v>
      </c>
      <c r="C26" s="25" t="n">
        <f aca="false">B26*Supuestos!$C$6</f>
        <v>459.366666666667</v>
      </c>
      <c r="D26" s="26" t="n">
        <f aca="false">C26*Supuestos!$C$42</f>
        <v>1990.58888888889</v>
      </c>
      <c r="E26" s="26" t="n">
        <f aca="false">IF(A26=0,0,MAX(Supuestos!$C$23,ROUNDUP(C26/Supuestos!$C$18,0)))</f>
        <v>16</v>
      </c>
      <c r="F26" s="25" t="n">
        <f aca="false">MAX(0,E26-IF(A25=0,Supuestos!$C$23,E25))+Supuestos!$C$19*E26</f>
        <v>1.48</v>
      </c>
      <c r="G26" s="26" t="n">
        <f aca="false">IF(A26=0,0,MAX(1,ROUNDUP(B26/Supuestos!$C$21,0)))</f>
        <v>1</v>
      </c>
      <c r="H26" s="27" t="n">
        <f aca="false">D26*(Supuestos!$C$14+Supuestos!$C$7)</f>
        <v>159247.111111111</v>
      </c>
      <c r="I26" s="27" t="n">
        <f aca="false">D26*Supuestos!$C$43</f>
        <v>148298.872222222</v>
      </c>
      <c r="J26" s="27" t="n">
        <f aca="false">IF(A26=0,0,Supuestos!$C$44+G26*Supuestos!$C$26)</f>
        <v>73000</v>
      </c>
      <c r="K26" s="28" t="n">
        <f aca="false">F26*Supuestos!$C$20</f>
        <v>5180</v>
      </c>
      <c r="L26" s="27" t="n">
        <f aca="false">IF(A26=0,Supuestos!$C$45,0)</f>
        <v>0</v>
      </c>
      <c r="M26" s="28" t="n">
        <f aca="false">IF(A26=0,-L26,H26-I26-J26-K26)</f>
        <v>-67231.7611111111</v>
      </c>
      <c r="N26" s="28" t="n">
        <f aca="false">N25+M26</f>
        <v>-1630975.70833333</v>
      </c>
      <c r="O26" s="29" t="n">
        <f aca="false">1/(1+Supuestos!$C$46)^A26</f>
        <v>0.853124062360634</v>
      </c>
      <c r="P26" s="28" t="n">
        <f aca="false">M26*O26</f>
        <v>-57357.0331587708</v>
      </c>
      <c r="Q26" s="28" t="n">
        <f aca="false">Q25+P26</f>
        <v>-1520967.38677571</v>
      </c>
      <c r="R26" s="30" t="n">
        <f aca="false">IF(AND(A26&gt;0,N26&gt;=0),1,0)</f>
        <v>0</v>
      </c>
      <c r="S26" s="30" t="n">
        <f aca="false">IF(AND(A26&gt;0,Q26&gt;=0),1,0)</f>
        <v>0</v>
      </c>
      <c r="U26" s="2" t="s">
        <v>140</v>
      </c>
      <c r="V26" s="2" t="str">
        <f aca="false">IF(ISNUMBER(V15),IF(V25&lt;Supuestos!$C$38*V15,"Sí","No"),"Sí")</f>
        <v>Sí</v>
      </c>
    </row>
    <row r="27" customFormat="false" ht="15" hidden="false" customHeight="false" outlineLevel="0" collapsed="false">
      <c r="A27" s="4" t="n">
        <v>21</v>
      </c>
      <c r="B27" s="31" t="n">
        <f aca="false">IF(A27=0,0,IF(A27&lt;=Supuestos!$C$24,Supuestos!$C$22,IF(A27&gt;=Supuestos!$C$8,$V$7,Supuestos!$C$22+($V$7-Supuestos!$C$22)*(A27-Supuestos!$C$24)/(Supuestos!$C$8-Supuestos!$C$24))))</f>
        <v>80.9583333333333</v>
      </c>
      <c r="C27" s="31" t="n">
        <f aca="false">B27*Supuestos!$C$6</f>
        <v>485.75</v>
      </c>
      <c r="D27" s="32" t="n">
        <f aca="false">C27*Supuestos!$C$42</f>
        <v>2104.91666666667</v>
      </c>
      <c r="E27" s="32" t="n">
        <f aca="false">IF(A27=0,0,MAX(Supuestos!$C$23,ROUNDUP(C27/Supuestos!$C$18,0)))</f>
        <v>17</v>
      </c>
      <c r="F27" s="31" t="n">
        <f aca="false">MAX(0,E27-IF(A26=0,Supuestos!$C$23,E26))+Supuestos!$C$19*E27</f>
        <v>1.51</v>
      </c>
      <c r="G27" s="32" t="n">
        <f aca="false">IF(A27=0,0,MAX(1,ROUNDUP(B27/Supuestos!$C$21,0)))</f>
        <v>2</v>
      </c>
      <c r="H27" s="33" t="n">
        <f aca="false">D27*(Supuestos!$C$14+Supuestos!$C$7)</f>
        <v>168393.333333333</v>
      </c>
      <c r="I27" s="33" t="n">
        <f aca="false">D27*Supuestos!$C$43</f>
        <v>156816.291666667</v>
      </c>
      <c r="J27" s="33" t="n">
        <f aca="false">IF(A27=0,0,Supuestos!$C$44+G27*Supuestos!$C$26)</f>
        <v>97300</v>
      </c>
      <c r="K27" s="21" t="n">
        <f aca="false">F27*Supuestos!$C$20</f>
        <v>5285</v>
      </c>
      <c r="L27" s="33" t="n">
        <f aca="false">IF(A27=0,Supuestos!$C$45,0)</f>
        <v>0</v>
      </c>
      <c r="M27" s="21" t="n">
        <f aca="false">IF(A27=0,-L27,H27-I27-J27-K27)</f>
        <v>-91007.9583333333</v>
      </c>
      <c r="N27" s="21" t="n">
        <f aca="false">N26+M27</f>
        <v>-1721983.66666667</v>
      </c>
      <c r="O27" s="34" t="n">
        <f aca="false">1/(1+Supuestos!$C$46)^A27</f>
        <v>0.846374949656566</v>
      </c>
      <c r="P27" s="21" t="n">
        <f aca="false">M27*O27</f>
        <v>-77026.8561527218</v>
      </c>
      <c r="Q27" s="21" t="n">
        <f aca="false">Q26+P27</f>
        <v>-1597994.24292843</v>
      </c>
      <c r="R27" s="35" t="n">
        <f aca="false">IF(AND(A27&gt;0,N27&gt;=0),1,0)</f>
        <v>0</v>
      </c>
      <c r="S27" s="35" t="n">
        <f aca="false">IF(AND(A27&gt;0,Q27&gt;=0),1,0)</f>
        <v>0</v>
      </c>
      <c r="U27" s="2" t="s">
        <v>141</v>
      </c>
      <c r="V27" s="21" t="n">
        <f aca="false">Supuestos!$C$39*INDEX(J6:J66,(Supuestos!$C$37+1))</f>
        <v>146000</v>
      </c>
    </row>
    <row r="28" customFormat="false" ht="15" hidden="false" customHeight="false" outlineLevel="0" collapsed="false">
      <c r="A28" s="24" t="n">
        <v>22</v>
      </c>
      <c r="B28" s="25" t="n">
        <f aca="false">IF(A28=0,0,IF(A28&lt;=Supuestos!$C$24,Supuestos!$C$22,IF(A28&gt;=Supuestos!$C$8,$V$7,Supuestos!$C$22+($V$7-Supuestos!$C$22)*(A28-Supuestos!$C$24)/(Supuestos!$C$8-Supuestos!$C$24))))</f>
        <v>85.3555555555556</v>
      </c>
      <c r="C28" s="25" t="n">
        <f aca="false">B28*Supuestos!$C$6</f>
        <v>512.133333333333</v>
      </c>
      <c r="D28" s="26" t="n">
        <f aca="false">C28*Supuestos!$C$42</f>
        <v>2219.24444444444</v>
      </c>
      <c r="E28" s="26" t="n">
        <f aca="false">IF(A28=0,0,MAX(Supuestos!$C$23,ROUNDUP(C28/Supuestos!$C$18,0)))</f>
        <v>18</v>
      </c>
      <c r="F28" s="25" t="n">
        <f aca="false">MAX(0,E28-IF(A27=0,Supuestos!$C$23,E27))+Supuestos!$C$19*E28</f>
        <v>1.54</v>
      </c>
      <c r="G28" s="26" t="n">
        <f aca="false">IF(A28=0,0,MAX(1,ROUNDUP(B28/Supuestos!$C$21,0)))</f>
        <v>2</v>
      </c>
      <c r="H28" s="27" t="n">
        <f aca="false">D28*(Supuestos!$C$14+Supuestos!$C$7)</f>
        <v>177539.555555556</v>
      </c>
      <c r="I28" s="27" t="n">
        <f aca="false">D28*Supuestos!$C$43</f>
        <v>165333.711111111</v>
      </c>
      <c r="J28" s="27" t="n">
        <f aca="false">IF(A28=0,0,Supuestos!$C$44+G28*Supuestos!$C$26)</f>
        <v>97300</v>
      </c>
      <c r="K28" s="28" t="n">
        <f aca="false">F28*Supuestos!$C$20</f>
        <v>5390</v>
      </c>
      <c r="L28" s="27" t="n">
        <f aca="false">IF(A28=0,Supuestos!$C$45,0)</f>
        <v>0</v>
      </c>
      <c r="M28" s="28" t="n">
        <f aca="false">IF(A28=0,-L28,H28-I28-J28-K28)</f>
        <v>-90484.1555555555</v>
      </c>
      <c r="N28" s="28" t="n">
        <f aca="false">N27+M28</f>
        <v>-1812467.82222222</v>
      </c>
      <c r="O28" s="29" t="n">
        <f aca="false">1/(1+Supuestos!$C$46)^A28</f>
        <v>0.839679229564783</v>
      </c>
      <c r="P28" s="28" t="n">
        <f aca="false">M28*O28</f>
        <v>-75977.6660247088</v>
      </c>
      <c r="Q28" s="28" t="n">
        <f aca="false">Q27+P28</f>
        <v>-1673971.90895314</v>
      </c>
      <c r="R28" s="30" t="n">
        <f aca="false">IF(AND(A28&gt;0,N28&gt;=0),1,0)</f>
        <v>0</v>
      </c>
      <c r="S28" s="30" t="n">
        <f aca="false">IF(AND(A28&gt;0,Q28&gt;=0),1,0)</f>
        <v>0</v>
      </c>
      <c r="U28" s="3" t="s">
        <v>142</v>
      </c>
      <c r="V28" s="21" t="n">
        <f aca="false">IF(V26="Sí",SUM(P6:INDEX(P6:P66,(Supuestos!$C$37+1)))-V27/(1+Supuestos!$C$46)^(Supuestos!$C$37+1),V8)</f>
        <v>-1170673.44743974</v>
      </c>
    </row>
    <row r="29" customFormat="false" ht="15" hidden="false" customHeight="false" outlineLevel="0" collapsed="false">
      <c r="A29" s="4" t="n">
        <v>23</v>
      </c>
      <c r="B29" s="31" t="n">
        <f aca="false">IF(A29=0,0,IF(A29&lt;=Supuestos!$C$24,Supuestos!$C$22,IF(A29&gt;=Supuestos!$C$8,$V$7,Supuestos!$C$22+($V$7-Supuestos!$C$22)*(A29-Supuestos!$C$24)/(Supuestos!$C$8-Supuestos!$C$24))))</f>
        <v>89.7527777777778</v>
      </c>
      <c r="C29" s="31" t="n">
        <f aca="false">B29*Supuestos!$C$6</f>
        <v>538.516666666667</v>
      </c>
      <c r="D29" s="32" t="n">
        <f aca="false">C29*Supuestos!$C$42</f>
        <v>2333.57222222222</v>
      </c>
      <c r="E29" s="32" t="n">
        <f aca="false">IF(A29=0,0,MAX(Supuestos!$C$23,ROUNDUP(C29/Supuestos!$C$18,0)))</f>
        <v>18</v>
      </c>
      <c r="F29" s="31" t="n">
        <f aca="false">MAX(0,E29-IF(A28=0,Supuestos!$C$23,E28))+Supuestos!$C$19*E29</f>
        <v>0.54</v>
      </c>
      <c r="G29" s="32" t="n">
        <f aca="false">IF(A29=0,0,MAX(1,ROUNDUP(B29/Supuestos!$C$21,0)))</f>
        <v>2</v>
      </c>
      <c r="H29" s="33" t="n">
        <f aca="false">D29*(Supuestos!$C$14+Supuestos!$C$7)</f>
        <v>186685.777777778</v>
      </c>
      <c r="I29" s="33" t="n">
        <f aca="false">D29*Supuestos!$C$43</f>
        <v>173851.130555556</v>
      </c>
      <c r="J29" s="33" t="n">
        <f aca="false">IF(A29=0,0,Supuestos!$C$44+G29*Supuestos!$C$26)</f>
        <v>97300</v>
      </c>
      <c r="K29" s="21" t="n">
        <f aca="false">F29*Supuestos!$C$20</f>
        <v>1890</v>
      </c>
      <c r="L29" s="33" t="n">
        <f aca="false">IF(A29=0,Supuestos!$C$45,0)</f>
        <v>0</v>
      </c>
      <c r="M29" s="21" t="n">
        <f aca="false">IF(A29=0,-L29,H29-I29-J29-K29)</f>
        <v>-86355.3527777778</v>
      </c>
      <c r="N29" s="21" t="n">
        <f aca="false">N28+M29</f>
        <v>-1898823.175</v>
      </c>
      <c r="O29" s="34" t="n">
        <f aca="false">1/(1+Supuestos!$C$46)^A29</f>
        <v>0.833036479693309</v>
      </c>
      <c r="P29" s="21" t="n">
        <f aca="false">M29*O29</f>
        <v>-71937.1590806738</v>
      </c>
      <c r="Q29" s="21" t="n">
        <f aca="false">Q28+P29</f>
        <v>-1745909.06803381</v>
      </c>
      <c r="R29" s="35" t="n">
        <f aca="false">IF(AND(A29&gt;0,N29&gt;=0),1,0)</f>
        <v>0</v>
      </c>
      <c r="S29" s="35" t="n">
        <f aca="false">IF(AND(A29&gt;0,Q29&gt;=0),1,0)</f>
        <v>0</v>
      </c>
      <c r="U29" s="2" t="s">
        <v>143</v>
      </c>
      <c r="V29" s="21" t="n">
        <f aca="false">IF(V26="Sí",SUM(M6:INDEX(M6:M66,(Supuestos!$C$37+1)))-V27,V16)</f>
        <v>-1227745.14166667</v>
      </c>
    </row>
    <row r="30" customFormat="false" ht="15" hidden="false" customHeight="false" outlineLevel="0" collapsed="false">
      <c r="A30" s="24" t="n">
        <v>24</v>
      </c>
      <c r="B30" s="25" t="n">
        <f aca="false">IF(A30=0,0,IF(A30&lt;=Supuestos!$C$24,Supuestos!$C$22,IF(A30&gt;=Supuestos!$C$8,$V$7,Supuestos!$C$22+($V$7-Supuestos!$C$22)*(A30-Supuestos!$C$24)/(Supuestos!$C$8-Supuestos!$C$24))))</f>
        <v>94.15</v>
      </c>
      <c r="C30" s="25" t="n">
        <f aca="false">B30*Supuestos!$C$6</f>
        <v>564.9</v>
      </c>
      <c r="D30" s="26" t="n">
        <f aca="false">C30*Supuestos!$C$42</f>
        <v>2447.9</v>
      </c>
      <c r="E30" s="26" t="n">
        <f aca="false">IF(A30=0,0,MAX(Supuestos!$C$23,ROUNDUP(C30/Supuestos!$C$18,0)))</f>
        <v>19</v>
      </c>
      <c r="F30" s="25" t="n">
        <f aca="false">MAX(0,E30-IF(A29=0,Supuestos!$C$23,E29))+Supuestos!$C$19*E30</f>
        <v>1.57</v>
      </c>
      <c r="G30" s="26" t="n">
        <f aca="false">IF(A30=0,0,MAX(1,ROUNDUP(B30/Supuestos!$C$21,0)))</f>
        <v>2</v>
      </c>
      <c r="H30" s="27" t="n">
        <f aca="false">D30*(Supuestos!$C$14+Supuestos!$C$7)</f>
        <v>195832</v>
      </c>
      <c r="I30" s="27" t="n">
        <f aca="false">D30*Supuestos!$C$43</f>
        <v>182368.55</v>
      </c>
      <c r="J30" s="27" t="n">
        <f aca="false">IF(A30=0,0,Supuestos!$C$44+G30*Supuestos!$C$26)</f>
        <v>97300</v>
      </c>
      <c r="K30" s="28" t="n">
        <f aca="false">F30*Supuestos!$C$20</f>
        <v>5495</v>
      </c>
      <c r="L30" s="27" t="n">
        <f aca="false">IF(A30=0,Supuestos!$C$45,0)</f>
        <v>0</v>
      </c>
      <c r="M30" s="28" t="n">
        <f aca="false">IF(A30=0,-L30,H30-I30-J30-K30)</f>
        <v>-89331.55</v>
      </c>
      <c r="N30" s="28" t="n">
        <f aca="false">N29+M30</f>
        <v>-1988154.725</v>
      </c>
      <c r="O30" s="29" t="n">
        <f aca="false">1/(1+Supuestos!$C$46)^A30</f>
        <v>0.826446280991735</v>
      </c>
      <c r="P30" s="28" t="n">
        <f aca="false">M30*O30</f>
        <v>-73827.7272727273</v>
      </c>
      <c r="Q30" s="28" t="n">
        <f aca="false">Q29+P30</f>
        <v>-1819736.79530654</v>
      </c>
      <c r="R30" s="30" t="n">
        <f aca="false">IF(AND(A30&gt;0,N30&gt;=0),1,0)</f>
        <v>0</v>
      </c>
      <c r="S30" s="30" t="n">
        <f aca="false">IF(AND(A30&gt;0,Q30&gt;=0),1,0)</f>
        <v>0</v>
      </c>
    </row>
    <row r="31" customFormat="false" ht="15" hidden="false" customHeight="false" outlineLevel="0" collapsed="false">
      <c r="A31" s="4" t="n">
        <v>25</v>
      </c>
      <c r="B31" s="31" t="n">
        <f aca="false">IF(A31=0,0,IF(A31&lt;=Supuestos!$C$24,Supuestos!$C$22,IF(A31&gt;=Supuestos!$C$8,$V$7,Supuestos!$C$22+($V$7-Supuestos!$C$22)*(A31-Supuestos!$C$24)/(Supuestos!$C$8-Supuestos!$C$24))))</f>
        <v>94.15</v>
      </c>
      <c r="C31" s="31" t="n">
        <f aca="false">B31*Supuestos!$C$6</f>
        <v>564.9</v>
      </c>
      <c r="D31" s="32" t="n">
        <f aca="false">C31*Supuestos!$C$42</f>
        <v>2447.9</v>
      </c>
      <c r="E31" s="32" t="n">
        <f aca="false">IF(A31=0,0,MAX(Supuestos!$C$23,ROUNDUP(C31/Supuestos!$C$18,0)))</f>
        <v>19</v>
      </c>
      <c r="F31" s="31" t="n">
        <f aca="false">MAX(0,E31-IF(A30=0,Supuestos!$C$23,E30))+Supuestos!$C$19*E31</f>
        <v>0.57</v>
      </c>
      <c r="G31" s="32" t="n">
        <f aca="false">IF(A31=0,0,MAX(1,ROUNDUP(B31/Supuestos!$C$21,0)))</f>
        <v>2</v>
      </c>
      <c r="H31" s="33" t="n">
        <f aca="false">D31*(Supuestos!$C$14+Supuestos!$C$7)</f>
        <v>195832</v>
      </c>
      <c r="I31" s="33" t="n">
        <f aca="false">D31*Supuestos!$C$43</f>
        <v>182368.55</v>
      </c>
      <c r="J31" s="33" t="n">
        <f aca="false">IF(A31=0,0,Supuestos!$C$44+G31*Supuestos!$C$26)</f>
        <v>97300</v>
      </c>
      <c r="K31" s="21" t="n">
        <f aca="false">F31*Supuestos!$C$20</f>
        <v>1995</v>
      </c>
      <c r="L31" s="33" t="n">
        <f aca="false">IF(A31=0,Supuestos!$C$45,0)</f>
        <v>0</v>
      </c>
      <c r="M31" s="21" t="n">
        <f aca="false">IF(A31=0,-L31,H31-I31-J31-K31)</f>
        <v>-85831.55</v>
      </c>
      <c r="N31" s="21" t="n">
        <f aca="false">N30+M31</f>
        <v>-2073986.275</v>
      </c>
      <c r="O31" s="34" t="n">
        <f aca="false">1/(1+Supuestos!$C$46)^A31</f>
        <v>0.819908217724785</v>
      </c>
      <c r="P31" s="21" t="n">
        <f aca="false">M31*O31</f>
        <v>-70373.9931850558</v>
      </c>
      <c r="Q31" s="21" t="n">
        <f aca="false">Q30+P31</f>
        <v>-1890110.78849159</v>
      </c>
      <c r="R31" s="35" t="n">
        <f aca="false">IF(AND(A31&gt;0,N31&gt;=0),1,0)</f>
        <v>0</v>
      </c>
      <c r="S31" s="35" t="n">
        <f aca="false">IF(AND(A31&gt;0,Q31&gt;=0),1,0)</f>
        <v>0</v>
      </c>
    </row>
    <row r="32" customFormat="false" ht="15" hidden="false" customHeight="false" outlineLevel="0" collapsed="false">
      <c r="A32" s="24" t="n">
        <v>26</v>
      </c>
      <c r="B32" s="25" t="n">
        <f aca="false">IF(A32=0,0,IF(A32&lt;=Supuestos!$C$24,Supuestos!$C$22,IF(A32&gt;=Supuestos!$C$8,$V$7,Supuestos!$C$22+($V$7-Supuestos!$C$22)*(A32-Supuestos!$C$24)/(Supuestos!$C$8-Supuestos!$C$24))))</f>
        <v>94.15</v>
      </c>
      <c r="C32" s="25" t="n">
        <f aca="false">B32*Supuestos!$C$6</f>
        <v>564.9</v>
      </c>
      <c r="D32" s="26" t="n">
        <f aca="false">C32*Supuestos!$C$42</f>
        <v>2447.9</v>
      </c>
      <c r="E32" s="26" t="n">
        <f aca="false">IF(A32=0,0,MAX(Supuestos!$C$23,ROUNDUP(C32/Supuestos!$C$18,0)))</f>
        <v>19</v>
      </c>
      <c r="F32" s="25" t="n">
        <f aca="false">MAX(0,E32-IF(A31=0,Supuestos!$C$23,E31))+Supuestos!$C$19*E32</f>
        <v>0.57</v>
      </c>
      <c r="G32" s="26" t="n">
        <f aca="false">IF(A32=0,0,MAX(1,ROUNDUP(B32/Supuestos!$C$21,0)))</f>
        <v>2</v>
      </c>
      <c r="H32" s="27" t="n">
        <f aca="false">D32*(Supuestos!$C$14+Supuestos!$C$7)</f>
        <v>195832</v>
      </c>
      <c r="I32" s="27" t="n">
        <f aca="false">D32*Supuestos!$C$43</f>
        <v>182368.55</v>
      </c>
      <c r="J32" s="27" t="n">
        <f aca="false">IF(A32=0,0,Supuestos!$C$44+G32*Supuestos!$C$26)</f>
        <v>97300</v>
      </c>
      <c r="K32" s="28" t="n">
        <f aca="false">F32*Supuestos!$C$20</f>
        <v>1995</v>
      </c>
      <c r="L32" s="27" t="n">
        <f aca="false">IF(A32=0,Supuestos!$C$45,0)</f>
        <v>0</v>
      </c>
      <c r="M32" s="28" t="n">
        <f aca="false">IF(A32=0,-L32,H32-I32-J32-K32)</f>
        <v>-85831.55</v>
      </c>
      <c r="N32" s="28" t="n">
        <f aca="false">N31+M32</f>
        <v>-2159817.825</v>
      </c>
      <c r="O32" s="29" t="n">
        <f aca="false">1/(1+Supuestos!$C$46)^A32</f>
        <v>0.813421877446088</v>
      </c>
      <c r="P32" s="28" t="n">
        <f aca="false">M32*O32</f>
        <v>-69817.2605451078</v>
      </c>
      <c r="Q32" s="28" t="n">
        <f aca="false">Q31+P32</f>
        <v>-1959928.0490367</v>
      </c>
      <c r="R32" s="30" t="n">
        <f aca="false">IF(AND(A32&gt;0,N32&gt;=0),1,0)</f>
        <v>0</v>
      </c>
      <c r="S32" s="30" t="n">
        <f aca="false">IF(AND(A32&gt;0,Q32&gt;=0),1,0)</f>
        <v>0</v>
      </c>
    </row>
    <row r="33" customFormat="false" ht="15" hidden="false" customHeight="false" outlineLevel="0" collapsed="false">
      <c r="A33" s="4" t="n">
        <v>27</v>
      </c>
      <c r="B33" s="31" t="n">
        <f aca="false">IF(A33=0,0,IF(A33&lt;=Supuestos!$C$24,Supuestos!$C$22,IF(A33&gt;=Supuestos!$C$8,$V$7,Supuestos!$C$22+($V$7-Supuestos!$C$22)*(A33-Supuestos!$C$24)/(Supuestos!$C$8-Supuestos!$C$24))))</f>
        <v>94.15</v>
      </c>
      <c r="C33" s="31" t="n">
        <f aca="false">B33*Supuestos!$C$6</f>
        <v>564.9</v>
      </c>
      <c r="D33" s="32" t="n">
        <f aca="false">C33*Supuestos!$C$42</f>
        <v>2447.9</v>
      </c>
      <c r="E33" s="32" t="n">
        <f aca="false">IF(A33=0,0,MAX(Supuestos!$C$23,ROUNDUP(C33/Supuestos!$C$18,0)))</f>
        <v>19</v>
      </c>
      <c r="F33" s="31" t="n">
        <f aca="false">MAX(0,E33-IF(A32=0,Supuestos!$C$23,E32))+Supuestos!$C$19*E33</f>
        <v>0.57</v>
      </c>
      <c r="G33" s="32" t="n">
        <f aca="false">IF(A33=0,0,MAX(1,ROUNDUP(B33/Supuestos!$C$21,0)))</f>
        <v>2</v>
      </c>
      <c r="H33" s="33" t="n">
        <f aca="false">D33*(Supuestos!$C$14+Supuestos!$C$7)</f>
        <v>195832</v>
      </c>
      <c r="I33" s="33" t="n">
        <f aca="false">D33*Supuestos!$C$43</f>
        <v>182368.55</v>
      </c>
      <c r="J33" s="33" t="n">
        <f aca="false">IF(A33=0,0,Supuestos!$C$44+G33*Supuestos!$C$26)</f>
        <v>97300</v>
      </c>
      <c r="K33" s="21" t="n">
        <f aca="false">F33*Supuestos!$C$20</f>
        <v>1995</v>
      </c>
      <c r="L33" s="33" t="n">
        <f aca="false">IF(A33=0,Supuestos!$C$45,0)</f>
        <v>0</v>
      </c>
      <c r="M33" s="21" t="n">
        <f aca="false">IF(A33=0,-L33,H33-I33-J33-K33)</f>
        <v>-85831.55</v>
      </c>
      <c r="N33" s="21" t="n">
        <f aca="false">N32+M33</f>
        <v>-2245649.375</v>
      </c>
      <c r="O33" s="34" t="n">
        <f aca="false">1/(1+Supuestos!$C$46)^A33</f>
        <v>0.806986850972157</v>
      </c>
      <c r="P33" s="21" t="n">
        <f aca="false">M33*O33</f>
        <v>-69264.9322485593</v>
      </c>
      <c r="Q33" s="21" t="n">
        <f aca="false">Q32+P33</f>
        <v>-2029192.98128526</v>
      </c>
      <c r="R33" s="35" t="n">
        <f aca="false">IF(AND(A33&gt;0,N33&gt;=0),1,0)</f>
        <v>0</v>
      </c>
      <c r="S33" s="35" t="n">
        <f aca="false">IF(AND(A33&gt;0,Q33&gt;=0),1,0)</f>
        <v>0</v>
      </c>
    </row>
    <row r="34" customFormat="false" ht="15" hidden="false" customHeight="false" outlineLevel="0" collapsed="false">
      <c r="A34" s="24" t="n">
        <v>28</v>
      </c>
      <c r="B34" s="25" t="n">
        <f aca="false">IF(A34=0,0,IF(A34&lt;=Supuestos!$C$24,Supuestos!$C$22,IF(A34&gt;=Supuestos!$C$8,$V$7,Supuestos!$C$22+($V$7-Supuestos!$C$22)*(A34-Supuestos!$C$24)/(Supuestos!$C$8-Supuestos!$C$24))))</f>
        <v>94.15</v>
      </c>
      <c r="C34" s="25" t="n">
        <f aca="false">B34*Supuestos!$C$6</f>
        <v>564.9</v>
      </c>
      <c r="D34" s="26" t="n">
        <f aca="false">C34*Supuestos!$C$42</f>
        <v>2447.9</v>
      </c>
      <c r="E34" s="26" t="n">
        <f aca="false">IF(A34=0,0,MAX(Supuestos!$C$23,ROUNDUP(C34/Supuestos!$C$18,0)))</f>
        <v>19</v>
      </c>
      <c r="F34" s="25" t="n">
        <f aca="false">MAX(0,E34-IF(A33=0,Supuestos!$C$23,E33))+Supuestos!$C$19*E34</f>
        <v>0.57</v>
      </c>
      <c r="G34" s="26" t="n">
        <f aca="false">IF(A34=0,0,MAX(1,ROUNDUP(B34/Supuestos!$C$21,0)))</f>
        <v>2</v>
      </c>
      <c r="H34" s="27" t="n">
        <f aca="false">D34*(Supuestos!$C$14+Supuestos!$C$7)</f>
        <v>195832</v>
      </c>
      <c r="I34" s="27" t="n">
        <f aca="false">D34*Supuestos!$C$43</f>
        <v>182368.55</v>
      </c>
      <c r="J34" s="27" t="n">
        <f aca="false">IF(A34=0,0,Supuestos!$C$44+G34*Supuestos!$C$26)</f>
        <v>97300</v>
      </c>
      <c r="K34" s="28" t="n">
        <f aca="false">F34*Supuestos!$C$20</f>
        <v>1995</v>
      </c>
      <c r="L34" s="27" t="n">
        <f aca="false">IF(A34=0,Supuestos!$C$45,0)</f>
        <v>0</v>
      </c>
      <c r="M34" s="28" t="n">
        <f aca="false">IF(A34=0,-L34,H34-I34-J34-K34)</f>
        <v>-85831.55</v>
      </c>
      <c r="N34" s="28" t="n">
        <f aca="false">N33+M34</f>
        <v>-2331480.925</v>
      </c>
      <c r="O34" s="29" t="n">
        <f aca="false">1/(1+Supuestos!$C$46)^A34</f>
        <v>0.800602732356582</v>
      </c>
      <c r="P34" s="28" t="n">
        <f aca="false">M34*O34</f>
        <v>-68716.9734524006</v>
      </c>
      <c r="Q34" s="28" t="n">
        <f aca="false">Q33+P34</f>
        <v>-2097909.95473766</v>
      </c>
      <c r="R34" s="30" t="n">
        <f aca="false">IF(AND(A34&gt;0,N34&gt;=0),1,0)</f>
        <v>0</v>
      </c>
      <c r="S34" s="30" t="n">
        <f aca="false">IF(AND(A34&gt;0,Q34&gt;=0),1,0)</f>
        <v>0</v>
      </c>
    </row>
    <row r="35" customFormat="false" ht="15" hidden="false" customHeight="false" outlineLevel="0" collapsed="false">
      <c r="A35" s="4" t="n">
        <v>29</v>
      </c>
      <c r="B35" s="31" t="n">
        <f aca="false">IF(A35=0,0,IF(A35&lt;=Supuestos!$C$24,Supuestos!$C$22,IF(A35&gt;=Supuestos!$C$8,$V$7,Supuestos!$C$22+($V$7-Supuestos!$C$22)*(A35-Supuestos!$C$24)/(Supuestos!$C$8-Supuestos!$C$24))))</f>
        <v>94.15</v>
      </c>
      <c r="C35" s="31" t="n">
        <f aca="false">B35*Supuestos!$C$6</f>
        <v>564.9</v>
      </c>
      <c r="D35" s="32" t="n">
        <f aca="false">C35*Supuestos!$C$42</f>
        <v>2447.9</v>
      </c>
      <c r="E35" s="32" t="n">
        <f aca="false">IF(A35=0,0,MAX(Supuestos!$C$23,ROUNDUP(C35/Supuestos!$C$18,0)))</f>
        <v>19</v>
      </c>
      <c r="F35" s="31" t="n">
        <f aca="false">MAX(0,E35-IF(A34=0,Supuestos!$C$23,E34))+Supuestos!$C$19*E35</f>
        <v>0.57</v>
      </c>
      <c r="G35" s="32" t="n">
        <f aca="false">IF(A35=0,0,MAX(1,ROUNDUP(B35/Supuestos!$C$21,0)))</f>
        <v>2</v>
      </c>
      <c r="H35" s="33" t="n">
        <f aca="false">D35*(Supuestos!$C$14+Supuestos!$C$7)</f>
        <v>195832</v>
      </c>
      <c r="I35" s="33" t="n">
        <f aca="false">D35*Supuestos!$C$43</f>
        <v>182368.55</v>
      </c>
      <c r="J35" s="33" t="n">
        <f aca="false">IF(A35=0,0,Supuestos!$C$44+G35*Supuestos!$C$26)</f>
        <v>97300</v>
      </c>
      <c r="K35" s="21" t="n">
        <f aca="false">F35*Supuestos!$C$20</f>
        <v>1995</v>
      </c>
      <c r="L35" s="33" t="n">
        <f aca="false">IF(A35=0,Supuestos!$C$45,0)</f>
        <v>0</v>
      </c>
      <c r="M35" s="21" t="n">
        <f aca="false">IF(A35=0,-L35,H35-I35-J35-K35)</f>
        <v>-85831.55</v>
      </c>
      <c r="N35" s="21" t="n">
        <f aca="false">N34+M35</f>
        <v>-2417312.475</v>
      </c>
      <c r="O35" s="34" t="n">
        <f aca="false">1/(1+Supuestos!$C$46)^A35</f>
        <v>0.794269118864415</v>
      </c>
      <c r="P35" s="21" t="n">
        <f aca="false">M35*O35</f>
        <v>-68173.349589267</v>
      </c>
      <c r="Q35" s="21" t="n">
        <f aca="false">Q34+P35</f>
        <v>-2166083.30432693</v>
      </c>
      <c r="R35" s="35" t="n">
        <f aca="false">IF(AND(A35&gt;0,N35&gt;=0),1,0)</f>
        <v>0</v>
      </c>
      <c r="S35" s="35" t="n">
        <f aca="false">IF(AND(A35&gt;0,Q35&gt;=0),1,0)</f>
        <v>0</v>
      </c>
    </row>
    <row r="36" customFormat="false" ht="15" hidden="false" customHeight="false" outlineLevel="0" collapsed="false">
      <c r="A36" s="24" t="n">
        <v>30</v>
      </c>
      <c r="B36" s="25" t="n">
        <f aca="false">IF(A36=0,0,IF(A36&lt;=Supuestos!$C$24,Supuestos!$C$22,IF(A36&gt;=Supuestos!$C$8,$V$7,Supuestos!$C$22+($V$7-Supuestos!$C$22)*(A36-Supuestos!$C$24)/(Supuestos!$C$8-Supuestos!$C$24))))</f>
        <v>94.15</v>
      </c>
      <c r="C36" s="25" t="n">
        <f aca="false">B36*Supuestos!$C$6</f>
        <v>564.9</v>
      </c>
      <c r="D36" s="26" t="n">
        <f aca="false">C36*Supuestos!$C$42</f>
        <v>2447.9</v>
      </c>
      <c r="E36" s="26" t="n">
        <f aca="false">IF(A36=0,0,MAX(Supuestos!$C$23,ROUNDUP(C36/Supuestos!$C$18,0)))</f>
        <v>19</v>
      </c>
      <c r="F36" s="25" t="n">
        <f aca="false">MAX(0,E36-IF(A35=0,Supuestos!$C$23,E35))+Supuestos!$C$19*E36</f>
        <v>0.57</v>
      </c>
      <c r="G36" s="26" t="n">
        <f aca="false">IF(A36=0,0,MAX(1,ROUNDUP(B36/Supuestos!$C$21,0)))</f>
        <v>2</v>
      </c>
      <c r="H36" s="27" t="n">
        <f aca="false">D36*(Supuestos!$C$14+Supuestos!$C$7)</f>
        <v>195832</v>
      </c>
      <c r="I36" s="27" t="n">
        <f aca="false">D36*Supuestos!$C$43</f>
        <v>182368.55</v>
      </c>
      <c r="J36" s="27" t="n">
        <f aca="false">IF(A36=0,0,Supuestos!$C$44+G36*Supuestos!$C$26)</f>
        <v>97300</v>
      </c>
      <c r="K36" s="28" t="n">
        <f aca="false">F36*Supuestos!$C$20</f>
        <v>1995</v>
      </c>
      <c r="L36" s="27" t="n">
        <f aca="false">IF(A36=0,Supuestos!$C$45,0)</f>
        <v>0</v>
      </c>
      <c r="M36" s="28" t="n">
        <f aca="false">IF(A36=0,-L36,H36-I36-J36-K36)</f>
        <v>-85831.55</v>
      </c>
      <c r="N36" s="28" t="n">
        <f aca="false">N35+M36</f>
        <v>-2503144.025</v>
      </c>
      <c r="O36" s="29" t="n">
        <f aca="false">1/(1+Supuestos!$C$46)^A36</f>
        <v>0.78798561094677</v>
      </c>
      <c r="P36" s="28" t="n">
        <f aca="false">M36*O36</f>
        <v>-67634.0263652583</v>
      </c>
      <c r="Q36" s="28" t="n">
        <f aca="false">Q35+P36</f>
        <v>-2233717.33069219</v>
      </c>
      <c r="R36" s="30" t="n">
        <f aca="false">IF(AND(A36&gt;0,N36&gt;=0),1,0)</f>
        <v>0</v>
      </c>
      <c r="S36" s="30" t="n">
        <f aca="false">IF(AND(A36&gt;0,Q36&gt;=0),1,0)</f>
        <v>0</v>
      </c>
    </row>
    <row r="37" customFormat="false" ht="15" hidden="false" customHeight="false" outlineLevel="0" collapsed="false">
      <c r="A37" s="4" t="n">
        <v>31</v>
      </c>
      <c r="B37" s="31" t="n">
        <f aca="false">IF(A37=0,0,IF(A37&lt;=Supuestos!$C$24,Supuestos!$C$22,IF(A37&gt;=Supuestos!$C$8,$V$7,Supuestos!$C$22+($V$7-Supuestos!$C$22)*(A37-Supuestos!$C$24)/(Supuestos!$C$8-Supuestos!$C$24))))</f>
        <v>94.15</v>
      </c>
      <c r="C37" s="31" t="n">
        <f aca="false">B37*Supuestos!$C$6</f>
        <v>564.9</v>
      </c>
      <c r="D37" s="32" t="n">
        <f aca="false">C37*Supuestos!$C$42</f>
        <v>2447.9</v>
      </c>
      <c r="E37" s="32" t="n">
        <f aca="false">IF(A37=0,0,MAX(Supuestos!$C$23,ROUNDUP(C37/Supuestos!$C$18,0)))</f>
        <v>19</v>
      </c>
      <c r="F37" s="31" t="n">
        <f aca="false">MAX(0,E37-IF(A36=0,Supuestos!$C$23,E36))+Supuestos!$C$19*E37</f>
        <v>0.57</v>
      </c>
      <c r="G37" s="32" t="n">
        <f aca="false">IF(A37=0,0,MAX(1,ROUNDUP(B37/Supuestos!$C$21,0)))</f>
        <v>2</v>
      </c>
      <c r="H37" s="33" t="n">
        <f aca="false">D37*(Supuestos!$C$14+Supuestos!$C$7)</f>
        <v>195832</v>
      </c>
      <c r="I37" s="33" t="n">
        <f aca="false">D37*Supuestos!$C$43</f>
        <v>182368.55</v>
      </c>
      <c r="J37" s="33" t="n">
        <f aca="false">IF(A37=0,0,Supuestos!$C$44+G37*Supuestos!$C$26)</f>
        <v>97300</v>
      </c>
      <c r="K37" s="21" t="n">
        <f aca="false">F37*Supuestos!$C$20</f>
        <v>1995</v>
      </c>
      <c r="L37" s="33" t="n">
        <f aca="false">IF(A37=0,Supuestos!$C$45,0)</f>
        <v>0</v>
      </c>
      <c r="M37" s="21" t="n">
        <f aca="false">IF(A37=0,-L37,H37-I37-J37-K37)</f>
        <v>-85831.55</v>
      </c>
      <c r="N37" s="21" t="n">
        <f aca="false">N36+M37</f>
        <v>-2588975.575</v>
      </c>
      <c r="O37" s="34" t="n">
        <f aca="false">1/(1+Supuestos!$C$46)^A37</f>
        <v>0.781751812215613</v>
      </c>
      <c r="P37" s="21" t="n">
        <f aca="false">M37*O37</f>
        <v>-67098.969757775</v>
      </c>
      <c r="Q37" s="21" t="n">
        <f aca="false">Q36+P37</f>
        <v>-2300816.30044996</v>
      </c>
      <c r="R37" s="35" t="n">
        <f aca="false">IF(AND(A37&gt;0,N37&gt;=0),1,0)</f>
        <v>0</v>
      </c>
      <c r="S37" s="35" t="n">
        <f aca="false">IF(AND(A37&gt;0,Q37&gt;=0),1,0)</f>
        <v>0</v>
      </c>
    </row>
    <row r="38" customFormat="false" ht="15" hidden="false" customHeight="false" outlineLevel="0" collapsed="false">
      <c r="A38" s="24" t="n">
        <v>32</v>
      </c>
      <c r="B38" s="25" t="n">
        <f aca="false">IF(A38=0,0,IF(A38&lt;=Supuestos!$C$24,Supuestos!$C$22,IF(A38&gt;=Supuestos!$C$8,$V$7,Supuestos!$C$22+($V$7-Supuestos!$C$22)*(A38-Supuestos!$C$24)/(Supuestos!$C$8-Supuestos!$C$24))))</f>
        <v>94.15</v>
      </c>
      <c r="C38" s="25" t="n">
        <f aca="false">B38*Supuestos!$C$6</f>
        <v>564.9</v>
      </c>
      <c r="D38" s="26" t="n">
        <f aca="false">C38*Supuestos!$C$42</f>
        <v>2447.9</v>
      </c>
      <c r="E38" s="26" t="n">
        <f aca="false">IF(A38=0,0,MAX(Supuestos!$C$23,ROUNDUP(C38/Supuestos!$C$18,0)))</f>
        <v>19</v>
      </c>
      <c r="F38" s="25" t="n">
        <f aca="false">MAX(0,E38-IF(A37=0,Supuestos!$C$23,E37))+Supuestos!$C$19*E38</f>
        <v>0.57</v>
      </c>
      <c r="G38" s="26" t="n">
        <f aca="false">IF(A38=0,0,MAX(1,ROUNDUP(B38/Supuestos!$C$21,0)))</f>
        <v>2</v>
      </c>
      <c r="H38" s="27" t="n">
        <f aca="false">D38*(Supuestos!$C$14+Supuestos!$C$7)</f>
        <v>195832</v>
      </c>
      <c r="I38" s="27" t="n">
        <f aca="false">D38*Supuestos!$C$43</f>
        <v>182368.55</v>
      </c>
      <c r="J38" s="27" t="n">
        <f aca="false">IF(A38=0,0,Supuestos!$C$44+G38*Supuestos!$C$26)</f>
        <v>97300</v>
      </c>
      <c r="K38" s="28" t="n">
        <f aca="false">F38*Supuestos!$C$20</f>
        <v>1995</v>
      </c>
      <c r="L38" s="27" t="n">
        <f aca="false">IF(A38=0,Supuestos!$C$45,0)</f>
        <v>0</v>
      </c>
      <c r="M38" s="28" t="n">
        <f aca="false">IF(A38=0,-L38,H38-I38-J38-K38)</f>
        <v>-85831.55</v>
      </c>
      <c r="N38" s="28" t="n">
        <f aca="false">N37+M38</f>
        <v>-2674807.125</v>
      </c>
      <c r="O38" s="29" t="n">
        <f aca="false">1/(1+Supuestos!$C$46)^A38</f>
        <v>0.775567329418758</v>
      </c>
      <c r="P38" s="28" t="n">
        <f aca="false">M38*O38</f>
        <v>-66568.1460133726</v>
      </c>
      <c r="Q38" s="28" t="n">
        <f aca="false">Q37+P38</f>
        <v>-2367384.44646333</v>
      </c>
      <c r="R38" s="30" t="n">
        <f aca="false">IF(AND(A38&gt;0,N38&gt;=0),1,0)</f>
        <v>0</v>
      </c>
      <c r="S38" s="30" t="n">
        <f aca="false">IF(AND(A38&gt;0,Q38&gt;=0),1,0)</f>
        <v>0</v>
      </c>
    </row>
    <row r="39" customFormat="false" ht="15" hidden="false" customHeight="false" outlineLevel="0" collapsed="false">
      <c r="A39" s="4" t="n">
        <v>33</v>
      </c>
      <c r="B39" s="31" t="n">
        <f aca="false">IF(A39=0,0,IF(A39&lt;=Supuestos!$C$24,Supuestos!$C$22,IF(A39&gt;=Supuestos!$C$8,$V$7,Supuestos!$C$22+($V$7-Supuestos!$C$22)*(A39-Supuestos!$C$24)/(Supuestos!$C$8-Supuestos!$C$24))))</f>
        <v>94.15</v>
      </c>
      <c r="C39" s="31" t="n">
        <f aca="false">B39*Supuestos!$C$6</f>
        <v>564.9</v>
      </c>
      <c r="D39" s="32" t="n">
        <f aca="false">C39*Supuestos!$C$42</f>
        <v>2447.9</v>
      </c>
      <c r="E39" s="32" t="n">
        <f aca="false">IF(A39=0,0,MAX(Supuestos!$C$23,ROUNDUP(C39/Supuestos!$C$18,0)))</f>
        <v>19</v>
      </c>
      <c r="F39" s="31" t="n">
        <f aca="false">MAX(0,E39-IF(A38=0,Supuestos!$C$23,E38))+Supuestos!$C$19*E39</f>
        <v>0.57</v>
      </c>
      <c r="G39" s="32" t="n">
        <f aca="false">IF(A39=0,0,MAX(1,ROUNDUP(B39/Supuestos!$C$21,0)))</f>
        <v>2</v>
      </c>
      <c r="H39" s="33" t="n">
        <f aca="false">D39*(Supuestos!$C$14+Supuestos!$C$7)</f>
        <v>195832</v>
      </c>
      <c r="I39" s="33" t="n">
        <f aca="false">D39*Supuestos!$C$43</f>
        <v>182368.55</v>
      </c>
      <c r="J39" s="33" t="n">
        <f aca="false">IF(A39=0,0,Supuestos!$C$44+G39*Supuestos!$C$26)</f>
        <v>97300</v>
      </c>
      <c r="K39" s="21" t="n">
        <f aca="false">F39*Supuestos!$C$20</f>
        <v>1995</v>
      </c>
      <c r="L39" s="33" t="n">
        <f aca="false">IF(A39=0,Supuestos!$C$45,0)</f>
        <v>0</v>
      </c>
      <c r="M39" s="21" t="n">
        <f aca="false">IF(A39=0,-L39,H39-I39-J39-K39)</f>
        <v>-85831.55</v>
      </c>
      <c r="N39" s="21" t="n">
        <f aca="false">N38+M39</f>
        <v>-2760638.675</v>
      </c>
      <c r="O39" s="34" t="n">
        <f aca="false">1/(1+Supuestos!$C$46)^A39</f>
        <v>0.76943177241506</v>
      </c>
      <c r="P39" s="21" t="n">
        <f aca="false">M39*O39</f>
        <v>-66041.5216456318</v>
      </c>
      <c r="Q39" s="21" t="n">
        <f aca="false">Q38+P39</f>
        <v>-2433425.96810897</v>
      </c>
      <c r="R39" s="35" t="n">
        <f aca="false">IF(AND(A39&gt;0,N39&gt;=0),1,0)</f>
        <v>0</v>
      </c>
      <c r="S39" s="35" t="n">
        <f aca="false">IF(AND(A39&gt;0,Q39&gt;=0),1,0)</f>
        <v>0</v>
      </c>
    </row>
    <row r="40" customFormat="false" ht="15" hidden="false" customHeight="false" outlineLevel="0" collapsed="false">
      <c r="A40" s="24" t="n">
        <v>34</v>
      </c>
      <c r="B40" s="25" t="n">
        <f aca="false">IF(A40=0,0,IF(A40&lt;=Supuestos!$C$24,Supuestos!$C$22,IF(A40&gt;=Supuestos!$C$8,$V$7,Supuestos!$C$22+($V$7-Supuestos!$C$22)*(A40-Supuestos!$C$24)/(Supuestos!$C$8-Supuestos!$C$24))))</f>
        <v>94.15</v>
      </c>
      <c r="C40" s="25" t="n">
        <f aca="false">B40*Supuestos!$C$6</f>
        <v>564.9</v>
      </c>
      <c r="D40" s="26" t="n">
        <f aca="false">C40*Supuestos!$C$42</f>
        <v>2447.9</v>
      </c>
      <c r="E40" s="26" t="n">
        <f aca="false">IF(A40=0,0,MAX(Supuestos!$C$23,ROUNDUP(C40/Supuestos!$C$18,0)))</f>
        <v>19</v>
      </c>
      <c r="F40" s="25" t="n">
        <f aca="false">MAX(0,E40-IF(A39=0,Supuestos!$C$23,E39))+Supuestos!$C$19*E40</f>
        <v>0.57</v>
      </c>
      <c r="G40" s="26" t="n">
        <f aca="false">IF(A40=0,0,MAX(1,ROUNDUP(B40/Supuestos!$C$21,0)))</f>
        <v>2</v>
      </c>
      <c r="H40" s="27" t="n">
        <f aca="false">D40*(Supuestos!$C$14+Supuestos!$C$7)</f>
        <v>195832</v>
      </c>
      <c r="I40" s="27" t="n">
        <f aca="false">D40*Supuestos!$C$43</f>
        <v>182368.55</v>
      </c>
      <c r="J40" s="27" t="n">
        <f aca="false">IF(A40=0,0,Supuestos!$C$44+G40*Supuestos!$C$26)</f>
        <v>97300</v>
      </c>
      <c r="K40" s="28" t="n">
        <f aca="false">F40*Supuestos!$C$20</f>
        <v>1995</v>
      </c>
      <c r="L40" s="27" t="n">
        <f aca="false">IF(A40=0,Supuestos!$C$45,0)</f>
        <v>0</v>
      </c>
      <c r="M40" s="28" t="n">
        <f aca="false">IF(A40=0,-L40,H40-I40-J40-K40)</f>
        <v>-85831.55</v>
      </c>
      <c r="N40" s="28" t="n">
        <f aca="false">N39+M40</f>
        <v>-2846470.225</v>
      </c>
      <c r="O40" s="29" t="n">
        <f aca="false">1/(1+Supuestos!$C$46)^A40</f>
        <v>0.763344754149802</v>
      </c>
      <c r="P40" s="28" t="n">
        <f aca="false">M40*O40</f>
        <v>-65519.0634330465</v>
      </c>
      <c r="Q40" s="28" t="n">
        <f aca="false">Q39+P40</f>
        <v>-2498945.03154201</v>
      </c>
      <c r="R40" s="30" t="n">
        <f aca="false">IF(AND(A40&gt;0,N40&gt;=0),1,0)</f>
        <v>0</v>
      </c>
      <c r="S40" s="30" t="n">
        <f aca="false">IF(AND(A40&gt;0,Q40&gt;=0),1,0)</f>
        <v>0</v>
      </c>
    </row>
    <row r="41" customFormat="false" ht="15" hidden="false" customHeight="false" outlineLevel="0" collapsed="false">
      <c r="A41" s="4" t="n">
        <v>35</v>
      </c>
      <c r="B41" s="31" t="n">
        <f aca="false">IF(A41=0,0,IF(A41&lt;=Supuestos!$C$24,Supuestos!$C$22,IF(A41&gt;=Supuestos!$C$8,$V$7,Supuestos!$C$22+($V$7-Supuestos!$C$22)*(A41-Supuestos!$C$24)/(Supuestos!$C$8-Supuestos!$C$24))))</f>
        <v>94.15</v>
      </c>
      <c r="C41" s="31" t="n">
        <f aca="false">B41*Supuestos!$C$6</f>
        <v>564.9</v>
      </c>
      <c r="D41" s="32" t="n">
        <f aca="false">C41*Supuestos!$C$42</f>
        <v>2447.9</v>
      </c>
      <c r="E41" s="32" t="n">
        <f aca="false">IF(A41=0,0,MAX(Supuestos!$C$23,ROUNDUP(C41/Supuestos!$C$18,0)))</f>
        <v>19</v>
      </c>
      <c r="F41" s="31" t="n">
        <f aca="false">MAX(0,E41-IF(A40=0,Supuestos!$C$23,E40))+Supuestos!$C$19*E41</f>
        <v>0.57</v>
      </c>
      <c r="G41" s="32" t="n">
        <f aca="false">IF(A41=0,0,MAX(1,ROUNDUP(B41/Supuestos!$C$21,0)))</f>
        <v>2</v>
      </c>
      <c r="H41" s="33" t="n">
        <f aca="false">D41*(Supuestos!$C$14+Supuestos!$C$7)</f>
        <v>195832</v>
      </c>
      <c r="I41" s="33" t="n">
        <f aca="false">D41*Supuestos!$C$43</f>
        <v>182368.55</v>
      </c>
      <c r="J41" s="33" t="n">
        <f aca="false">IF(A41=0,0,Supuestos!$C$44+G41*Supuestos!$C$26)</f>
        <v>97300</v>
      </c>
      <c r="K41" s="21" t="n">
        <f aca="false">F41*Supuestos!$C$20</f>
        <v>1995</v>
      </c>
      <c r="L41" s="33" t="n">
        <f aca="false">IF(A41=0,Supuestos!$C$45,0)</f>
        <v>0</v>
      </c>
      <c r="M41" s="21" t="n">
        <f aca="false">IF(A41=0,-L41,H41-I41-J41-K41)</f>
        <v>-85831.55</v>
      </c>
      <c r="N41" s="21" t="n">
        <f aca="false">N40+M41</f>
        <v>-2932301.775</v>
      </c>
      <c r="O41" s="34" t="n">
        <f aca="false">1/(1+Supuestos!$C$46)^A41</f>
        <v>0.75730589063028</v>
      </c>
      <c r="P41" s="21" t="n">
        <f aca="false">M41*O41</f>
        <v>-65000.7384169274</v>
      </c>
      <c r="Q41" s="21" t="n">
        <f aca="false">Q40+P41</f>
        <v>-2563945.76995894</v>
      </c>
      <c r="R41" s="35" t="n">
        <f aca="false">IF(AND(A41&gt;0,N41&gt;=0),1,0)</f>
        <v>0</v>
      </c>
      <c r="S41" s="35" t="n">
        <f aca="false">IF(AND(A41&gt;0,Q41&gt;=0),1,0)</f>
        <v>0</v>
      </c>
    </row>
    <row r="42" customFormat="false" ht="15" hidden="false" customHeight="false" outlineLevel="0" collapsed="false">
      <c r="A42" s="24" t="n">
        <v>36</v>
      </c>
      <c r="B42" s="25" t="n">
        <f aca="false">IF(A42=0,0,IF(A42&lt;=Supuestos!$C$24,Supuestos!$C$22,IF(A42&gt;=Supuestos!$C$8,$V$7,Supuestos!$C$22+($V$7-Supuestos!$C$22)*(A42-Supuestos!$C$24)/(Supuestos!$C$8-Supuestos!$C$24))))</f>
        <v>94.15</v>
      </c>
      <c r="C42" s="25" t="n">
        <f aca="false">B42*Supuestos!$C$6</f>
        <v>564.9</v>
      </c>
      <c r="D42" s="26" t="n">
        <f aca="false">C42*Supuestos!$C$42</f>
        <v>2447.9</v>
      </c>
      <c r="E42" s="26" t="n">
        <f aca="false">IF(A42=0,0,MAX(Supuestos!$C$23,ROUNDUP(C42/Supuestos!$C$18,0)))</f>
        <v>19</v>
      </c>
      <c r="F42" s="25" t="n">
        <f aca="false">MAX(0,E42-IF(A41=0,Supuestos!$C$23,E41))+Supuestos!$C$19*E42</f>
        <v>0.57</v>
      </c>
      <c r="G42" s="26" t="n">
        <f aca="false">IF(A42=0,0,MAX(1,ROUNDUP(B42/Supuestos!$C$21,0)))</f>
        <v>2</v>
      </c>
      <c r="H42" s="27" t="n">
        <f aca="false">D42*(Supuestos!$C$14+Supuestos!$C$7)</f>
        <v>195832</v>
      </c>
      <c r="I42" s="27" t="n">
        <f aca="false">D42*Supuestos!$C$43</f>
        <v>182368.55</v>
      </c>
      <c r="J42" s="27" t="n">
        <f aca="false">IF(A42=0,0,Supuestos!$C$44+G42*Supuestos!$C$26)</f>
        <v>97300</v>
      </c>
      <c r="K42" s="28" t="n">
        <f aca="false">F42*Supuestos!$C$20</f>
        <v>1995</v>
      </c>
      <c r="L42" s="27" t="n">
        <f aca="false">IF(A42=0,Supuestos!$C$45,0)</f>
        <v>0</v>
      </c>
      <c r="M42" s="28" t="n">
        <f aca="false">IF(A42=0,-L42,H42-I42-J42-K42)</f>
        <v>-85831.55</v>
      </c>
      <c r="N42" s="28" t="n">
        <f aca="false">N41+M42</f>
        <v>-3018133.325</v>
      </c>
      <c r="O42" s="29" t="n">
        <f aca="false">1/(1+Supuestos!$C$46)^A42</f>
        <v>0.751314800901577</v>
      </c>
      <c r="P42" s="28" t="n">
        <f aca="false">M42*O42</f>
        <v>-64486.5138993238</v>
      </c>
      <c r="Q42" s="28" t="n">
        <f aca="false">Q41+P42</f>
        <v>-2628432.28385826</v>
      </c>
      <c r="R42" s="30" t="n">
        <f aca="false">IF(AND(A42&gt;0,N42&gt;=0),1,0)</f>
        <v>0</v>
      </c>
      <c r="S42" s="30" t="n">
        <f aca="false">IF(AND(A42&gt;0,Q42&gt;=0),1,0)</f>
        <v>0</v>
      </c>
    </row>
    <row r="43" customFormat="false" ht="15" hidden="false" customHeight="false" outlineLevel="0" collapsed="false">
      <c r="A43" s="4" t="n">
        <v>37</v>
      </c>
      <c r="B43" s="31" t="n">
        <f aca="false">IF(A43=0,0,IF(A43&lt;=Supuestos!$C$24,Supuestos!$C$22,IF(A43&gt;=Supuestos!$C$8,$V$7,Supuestos!$C$22+($V$7-Supuestos!$C$22)*(A43-Supuestos!$C$24)/(Supuestos!$C$8-Supuestos!$C$24))))</f>
        <v>94.15</v>
      </c>
      <c r="C43" s="31" t="n">
        <f aca="false">B43*Supuestos!$C$6</f>
        <v>564.9</v>
      </c>
      <c r="D43" s="32" t="n">
        <f aca="false">C43*Supuestos!$C$42</f>
        <v>2447.9</v>
      </c>
      <c r="E43" s="32" t="n">
        <f aca="false">IF(A43=0,0,MAX(Supuestos!$C$23,ROUNDUP(C43/Supuestos!$C$18,0)))</f>
        <v>19</v>
      </c>
      <c r="F43" s="31" t="n">
        <f aca="false">MAX(0,E43-IF(A42=0,Supuestos!$C$23,E42))+Supuestos!$C$19*E43</f>
        <v>0.57</v>
      </c>
      <c r="G43" s="32" t="n">
        <f aca="false">IF(A43=0,0,MAX(1,ROUNDUP(B43/Supuestos!$C$21,0)))</f>
        <v>2</v>
      </c>
      <c r="H43" s="33" t="n">
        <f aca="false">D43*(Supuestos!$C$14+Supuestos!$C$7)</f>
        <v>195832</v>
      </c>
      <c r="I43" s="33" t="n">
        <f aca="false">D43*Supuestos!$C$43</f>
        <v>182368.55</v>
      </c>
      <c r="J43" s="33" t="n">
        <f aca="false">IF(A43=0,0,Supuestos!$C$44+G43*Supuestos!$C$26)</f>
        <v>97300</v>
      </c>
      <c r="K43" s="21" t="n">
        <f aca="false">F43*Supuestos!$C$20</f>
        <v>1995</v>
      </c>
      <c r="L43" s="33" t="n">
        <f aca="false">IF(A43=0,Supuestos!$C$45,0)</f>
        <v>0</v>
      </c>
      <c r="M43" s="21" t="n">
        <f aca="false">IF(A43=0,-L43,H43-I43-J43-K43)</f>
        <v>-85831.55</v>
      </c>
      <c r="N43" s="21" t="n">
        <f aca="false">N42+M43</f>
        <v>-3103964.875</v>
      </c>
      <c r="O43" s="34" t="n">
        <f aca="false">1/(1+Supuestos!$C$46)^A43</f>
        <v>0.745371107022532</v>
      </c>
      <c r="P43" s="21" t="n">
        <f aca="false">M43*O43</f>
        <v>-63976.3574409598</v>
      </c>
      <c r="Q43" s="21" t="n">
        <f aca="false">Q42+P43</f>
        <v>-2692408.64129922</v>
      </c>
      <c r="R43" s="35" t="n">
        <f aca="false">IF(AND(A43&gt;0,N43&gt;=0),1,0)</f>
        <v>0</v>
      </c>
      <c r="S43" s="35" t="n">
        <f aca="false">IF(AND(A43&gt;0,Q43&gt;=0),1,0)</f>
        <v>0</v>
      </c>
    </row>
    <row r="44" customFormat="false" ht="15" hidden="false" customHeight="false" outlineLevel="0" collapsed="false">
      <c r="A44" s="24" t="n">
        <v>38</v>
      </c>
      <c r="B44" s="25" t="n">
        <f aca="false">IF(A44=0,0,IF(A44&lt;=Supuestos!$C$24,Supuestos!$C$22,IF(A44&gt;=Supuestos!$C$8,$V$7,Supuestos!$C$22+($V$7-Supuestos!$C$22)*(A44-Supuestos!$C$24)/(Supuestos!$C$8-Supuestos!$C$24))))</f>
        <v>94.15</v>
      </c>
      <c r="C44" s="25" t="n">
        <f aca="false">B44*Supuestos!$C$6</f>
        <v>564.9</v>
      </c>
      <c r="D44" s="26" t="n">
        <f aca="false">C44*Supuestos!$C$42</f>
        <v>2447.9</v>
      </c>
      <c r="E44" s="26" t="n">
        <f aca="false">IF(A44=0,0,MAX(Supuestos!$C$23,ROUNDUP(C44/Supuestos!$C$18,0)))</f>
        <v>19</v>
      </c>
      <c r="F44" s="25" t="n">
        <f aca="false">MAX(0,E44-IF(A43=0,Supuestos!$C$23,E43))+Supuestos!$C$19*E44</f>
        <v>0.57</v>
      </c>
      <c r="G44" s="26" t="n">
        <f aca="false">IF(A44=0,0,MAX(1,ROUNDUP(B44/Supuestos!$C$21,0)))</f>
        <v>2</v>
      </c>
      <c r="H44" s="27" t="n">
        <f aca="false">D44*(Supuestos!$C$14+Supuestos!$C$7)</f>
        <v>195832</v>
      </c>
      <c r="I44" s="27" t="n">
        <f aca="false">D44*Supuestos!$C$43</f>
        <v>182368.55</v>
      </c>
      <c r="J44" s="27" t="n">
        <f aca="false">IF(A44=0,0,Supuestos!$C$44+G44*Supuestos!$C$26)</f>
        <v>97300</v>
      </c>
      <c r="K44" s="28" t="n">
        <f aca="false">F44*Supuestos!$C$20</f>
        <v>1995</v>
      </c>
      <c r="L44" s="27" t="n">
        <f aca="false">IF(A44=0,Supuestos!$C$45,0)</f>
        <v>0</v>
      </c>
      <c r="M44" s="28" t="n">
        <f aca="false">IF(A44=0,-L44,H44-I44-J44-K44)</f>
        <v>-85831.55</v>
      </c>
      <c r="N44" s="28" t="n">
        <f aca="false">N43+M44</f>
        <v>-3189796.425</v>
      </c>
      <c r="O44" s="29" t="n">
        <f aca="false">1/(1+Supuestos!$C$46)^A44</f>
        <v>0.739474434041898</v>
      </c>
      <c r="P44" s="28" t="n">
        <f aca="false">M44*O44</f>
        <v>-63470.2368591889</v>
      </c>
      <c r="Q44" s="28" t="n">
        <f aca="false">Q43+P44</f>
        <v>-2755878.87815841</v>
      </c>
      <c r="R44" s="30" t="n">
        <f aca="false">IF(AND(A44&gt;0,N44&gt;=0),1,0)</f>
        <v>0</v>
      </c>
      <c r="S44" s="30" t="n">
        <f aca="false">IF(AND(A44&gt;0,Q44&gt;=0),1,0)</f>
        <v>0</v>
      </c>
    </row>
    <row r="45" customFormat="false" ht="15" hidden="false" customHeight="false" outlineLevel="0" collapsed="false">
      <c r="A45" s="4" t="n">
        <v>39</v>
      </c>
      <c r="B45" s="31" t="n">
        <f aca="false">IF(A45=0,0,IF(A45&lt;=Supuestos!$C$24,Supuestos!$C$22,IF(A45&gt;=Supuestos!$C$8,$V$7,Supuestos!$C$22+($V$7-Supuestos!$C$22)*(A45-Supuestos!$C$24)/(Supuestos!$C$8-Supuestos!$C$24))))</f>
        <v>94.15</v>
      </c>
      <c r="C45" s="31" t="n">
        <f aca="false">B45*Supuestos!$C$6</f>
        <v>564.9</v>
      </c>
      <c r="D45" s="32" t="n">
        <f aca="false">C45*Supuestos!$C$42</f>
        <v>2447.9</v>
      </c>
      <c r="E45" s="32" t="n">
        <f aca="false">IF(A45=0,0,MAX(Supuestos!$C$23,ROUNDUP(C45/Supuestos!$C$18,0)))</f>
        <v>19</v>
      </c>
      <c r="F45" s="31" t="n">
        <f aca="false">MAX(0,E45-IF(A44=0,Supuestos!$C$23,E44))+Supuestos!$C$19*E45</f>
        <v>0.57</v>
      </c>
      <c r="G45" s="32" t="n">
        <f aca="false">IF(A45=0,0,MAX(1,ROUNDUP(B45/Supuestos!$C$21,0)))</f>
        <v>2</v>
      </c>
      <c r="H45" s="33" t="n">
        <f aca="false">D45*(Supuestos!$C$14+Supuestos!$C$7)</f>
        <v>195832</v>
      </c>
      <c r="I45" s="33" t="n">
        <f aca="false">D45*Supuestos!$C$43</f>
        <v>182368.55</v>
      </c>
      <c r="J45" s="33" t="n">
        <f aca="false">IF(A45=0,0,Supuestos!$C$44+G45*Supuestos!$C$26)</f>
        <v>97300</v>
      </c>
      <c r="K45" s="21" t="n">
        <f aca="false">F45*Supuestos!$C$20</f>
        <v>1995</v>
      </c>
      <c r="L45" s="33" t="n">
        <f aca="false">IF(A45=0,Supuestos!$C$45,0)</f>
        <v>0</v>
      </c>
      <c r="M45" s="21" t="n">
        <f aca="false">IF(A45=0,-L45,H45-I45-J45-K45)</f>
        <v>-85831.55</v>
      </c>
      <c r="N45" s="21" t="n">
        <f aca="false">N44+M45</f>
        <v>-3275627.975</v>
      </c>
      <c r="O45" s="34" t="n">
        <f aca="false">1/(1+Supuestos!$C$46)^A45</f>
        <v>0.733624409974688</v>
      </c>
      <c r="P45" s="21" t="n">
        <f aca="false">M45*O45</f>
        <v>-62968.1202259629</v>
      </c>
      <c r="Q45" s="21" t="n">
        <f aca="false">Q44+P45</f>
        <v>-2818846.99838437</v>
      </c>
      <c r="R45" s="35" t="n">
        <f aca="false">IF(AND(A45&gt;0,N45&gt;=0),1,0)</f>
        <v>0</v>
      </c>
      <c r="S45" s="35" t="n">
        <f aca="false">IF(AND(A45&gt;0,Q45&gt;=0),1,0)</f>
        <v>0</v>
      </c>
    </row>
    <row r="46" customFormat="false" ht="15" hidden="false" customHeight="false" outlineLevel="0" collapsed="false">
      <c r="A46" s="24" t="n">
        <v>40</v>
      </c>
      <c r="B46" s="25" t="n">
        <f aca="false">IF(A46=0,0,IF(A46&lt;=Supuestos!$C$24,Supuestos!$C$22,IF(A46&gt;=Supuestos!$C$8,$V$7,Supuestos!$C$22+($V$7-Supuestos!$C$22)*(A46-Supuestos!$C$24)/(Supuestos!$C$8-Supuestos!$C$24))))</f>
        <v>94.15</v>
      </c>
      <c r="C46" s="25" t="n">
        <f aca="false">B46*Supuestos!$C$6</f>
        <v>564.9</v>
      </c>
      <c r="D46" s="26" t="n">
        <f aca="false">C46*Supuestos!$C$42</f>
        <v>2447.9</v>
      </c>
      <c r="E46" s="26" t="n">
        <f aca="false">IF(A46=0,0,MAX(Supuestos!$C$23,ROUNDUP(C46/Supuestos!$C$18,0)))</f>
        <v>19</v>
      </c>
      <c r="F46" s="25" t="n">
        <f aca="false">MAX(0,E46-IF(A45=0,Supuestos!$C$23,E45))+Supuestos!$C$19*E46</f>
        <v>0.57</v>
      </c>
      <c r="G46" s="26" t="n">
        <f aca="false">IF(A46=0,0,MAX(1,ROUNDUP(B46/Supuestos!$C$21,0)))</f>
        <v>2</v>
      </c>
      <c r="H46" s="27" t="n">
        <f aca="false">D46*(Supuestos!$C$14+Supuestos!$C$7)</f>
        <v>195832</v>
      </c>
      <c r="I46" s="27" t="n">
        <f aca="false">D46*Supuestos!$C$43</f>
        <v>182368.55</v>
      </c>
      <c r="J46" s="27" t="n">
        <f aca="false">IF(A46=0,0,Supuestos!$C$44+G46*Supuestos!$C$26)</f>
        <v>97300</v>
      </c>
      <c r="K46" s="28" t="n">
        <f aca="false">F46*Supuestos!$C$20</f>
        <v>1995</v>
      </c>
      <c r="L46" s="27" t="n">
        <f aca="false">IF(A46=0,Supuestos!$C$45,0)</f>
        <v>0</v>
      </c>
      <c r="M46" s="28" t="n">
        <f aca="false">IF(A46=0,-L46,H46-I46-J46-K46)</f>
        <v>-85831.55</v>
      </c>
      <c r="N46" s="28" t="n">
        <f aca="false">N45+M46</f>
        <v>-3361459.525</v>
      </c>
      <c r="O46" s="29" t="n">
        <f aca="false">1/(1+Supuestos!$C$46)^A46</f>
        <v>0.72782066577871</v>
      </c>
      <c r="P46" s="28" t="n">
        <f aca="false">M46*O46</f>
        <v>-62469.9758658187</v>
      </c>
      <c r="Q46" s="28" t="n">
        <f aca="false">Q45+P46</f>
        <v>-2881316.97425019</v>
      </c>
      <c r="R46" s="30" t="n">
        <f aca="false">IF(AND(A46&gt;0,N46&gt;=0),1,0)</f>
        <v>0</v>
      </c>
      <c r="S46" s="30" t="n">
        <f aca="false">IF(AND(A46&gt;0,Q46&gt;=0),1,0)</f>
        <v>0</v>
      </c>
    </row>
    <row r="47" customFormat="false" ht="15" hidden="false" customHeight="false" outlineLevel="0" collapsed="false">
      <c r="A47" s="4" t="n">
        <v>41</v>
      </c>
      <c r="B47" s="31" t="n">
        <f aca="false">IF(A47=0,0,IF(A47&lt;=Supuestos!$C$24,Supuestos!$C$22,IF(A47&gt;=Supuestos!$C$8,$V$7,Supuestos!$C$22+($V$7-Supuestos!$C$22)*(A47-Supuestos!$C$24)/(Supuestos!$C$8-Supuestos!$C$24))))</f>
        <v>94.15</v>
      </c>
      <c r="C47" s="31" t="n">
        <f aca="false">B47*Supuestos!$C$6</f>
        <v>564.9</v>
      </c>
      <c r="D47" s="32" t="n">
        <f aca="false">C47*Supuestos!$C$42</f>
        <v>2447.9</v>
      </c>
      <c r="E47" s="32" t="n">
        <f aca="false">IF(A47=0,0,MAX(Supuestos!$C$23,ROUNDUP(C47/Supuestos!$C$18,0)))</f>
        <v>19</v>
      </c>
      <c r="F47" s="31" t="n">
        <f aca="false">MAX(0,E47-IF(A46=0,Supuestos!$C$23,E46))+Supuestos!$C$19*E47</f>
        <v>0.57</v>
      </c>
      <c r="G47" s="32" t="n">
        <f aca="false">IF(A47=0,0,MAX(1,ROUNDUP(B47/Supuestos!$C$21,0)))</f>
        <v>2</v>
      </c>
      <c r="H47" s="33" t="n">
        <f aca="false">D47*(Supuestos!$C$14+Supuestos!$C$7)</f>
        <v>195832</v>
      </c>
      <c r="I47" s="33" t="n">
        <f aca="false">D47*Supuestos!$C$43</f>
        <v>182368.55</v>
      </c>
      <c r="J47" s="33" t="n">
        <f aca="false">IF(A47=0,0,Supuestos!$C$44+G47*Supuestos!$C$26)</f>
        <v>97300</v>
      </c>
      <c r="K47" s="21" t="n">
        <f aca="false">F47*Supuestos!$C$20</f>
        <v>1995</v>
      </c>
      <c r="L47" s="33" t="n">
        <f aca="false">IF(A47=0,Supuestos!$C$45,0)</f>
        <v>0</v>
      </c>
      <c r="M47" s="21" t="n">
        <f aca="false">IF(A47=0,-L47,H47-I47-J47-K47)</f>
        <v>-85831.55</v>
      </c>
      <c r="N47" s="21" t="n">
        <f aca="false">N46+M47</f>
        <v>-3447291.075</v>
      </c>
      <c r="O47" s="34" t="n">
        <f aca="false">1/(1+Supuestos!$C$46)^A47</f>
        <v>0.722062835331286</v>
      </c>
      <c r="P47" s="21" t="n">
        <f aca="false">M47*O47</f>
        <v>-61975.7723538791</v>
      </c>
      <c r="Q47" s="21" t="n">
        <f aca="false">Q46+P47</f>
        <v>-2943292.74660407</v>
      </c>
      <c r="R47" s="35" t="n">
        <f aca="false">IF(AND(A47&gt;0,N47&gt;=0),1,0)</f>
        <v>0</v>
      </c>
      <c r="S47" s="35" t="n">
        <f aca="false">IF(AND(A47&gt;0,Q47&gt;=0),1,0)</f>
        <v>0</v>
      </c>
    </row>
    <row r="48" customFormat="false" ht="15" hidden="false" customHeight="false" outlineLevel="0" collapsed="false">
      <c r="A48" s="24" t="n">
        <v>42</v>
      </c>
      <c r="B48" s="25" t="n">
        <f aca="false">IF(A48=0,0,IF(A48&lt;=Supuestos!$C$24,Supuestos!$C$22,IF(A48&gt;=Supuestos!$C$8,$V$7,Supuestos!$C$22+($V$7-Supuestos!$C$22)*(A48-Supuestos!$C$24)/(Supuestos!$C$8-Supuestos!$C$24))))</f>
        <v>94.15</v>
      </c>
      <c r="C48" s="25" t="n">
        <f aca="false">B48*Supuestos!$C$6</f>
        <v>564.9</v>
      </c>
      <c r="D48" s="26" t="n">
        <f aca="false">C48*Supuestos!$C$42</f>
        <v>2447.9</v>
      </c>
      <c r="E48" s="26" t="n">
        <f aca="false">IF(A48=0,0,MAX(Supuestos!$C$23,ROUNDUP(C48/Supuestos!$C$18,0)))</f>
        <v>19</v>
      </c>
      <c r="F48" s="25" t="n">
        <f aca="false">MAX(0,E48-IF(A47=0,Supuestos!$C$23,E47))+Supuestos!$C$19*E48</f>
        <v>0.57</v>
      </c>
      <c r="G48" s="26" t="n">
        <f aca="false">IF(A48=0,0,MAX(1,ROUNDUP(B48/Supuestos!$C$21,0)))</f>
        <v>2</v>
      </c>
      <c r="H48" s="27" t="n">
        <f aca="false">D48*(Supuestos!$C$14+Supuestos!$C$7)</f>
        <v>195832</v>
      </c>
      <c r="I48" s="27" t="n">
        <f aca="false">D48*Supuestos!$C$43</f>
        <v>182368.55</v>
      </c>
      <c r="J48" s="27" t="n">
        <f aca="false">IF(A48=0,0,Supuestos!$C$44+G48*Supuestos!$C$26)</f>
        <v>97300</v>
      </c>
      <c r="K48" s="28" t="n">
        <f aca="false">F48*Supuestos!$C$20</f>
        <v>1995</v>
      </c>
      <c r="L48" s="27" t="n">
        <f aca="false">IF(A48=0,Supuestos!$C$45,0)</f>
        <v>0</v>
      </c>
      <c r="M48" s="28" t="n">
        <f aca="false">IF(A48=0,-L48,H48-I48-J48-K48)</f>
        <v>-85831.55</v>
      </c>
      <c r="N48" s="28" t="n">
        <f aca="false">N47+M48</f>
        <v>-3533122.625</v>
      </c>
      <c r="O48" s="29" t="n">
        <f aca="false">1/(1+Supuestos!$C$46)^A48</f>
        <v>0.716350555406154</v>
      </c>
      <c r="P48" s="28" t="n">
        <f aca="false">M48*O48</f>
        <v>-61485.4785138711</v>
      </c>
      <c r="Q48" s="28" t="n">
        <f aca="false">Q47+P48</f>
        <v>-3004778.22511794</v>
      </c>
      <c r="R48" s="30" t="n">
        <f aca="false">IF(AND(A48&gt;0,N48&gt;=0),1,0)</f>
        <v>0</v>
      </c>
      <c r="S48" s="30" t="n">
        <f aca="false">IF(AND(A48&gt;0,Q48&gt;=0),1,0)</f>
        <v>0</v>
      </c>
    </row>
    <row r="49" customFormat="false" ht="15" hidden="false" customHeight="false" outlineLevel="0" collapsed="false">
      <c r="A49" s="4" t="n">
        <v>43</v>
      </c>
      <c r="B49" s="31" t="n">
        <f aca="false">IF(A49=0,0,IF(A49&lt;=Supuestos!$C$24,Supuestos!$C$22,IF(A49&gt;=Supuestos!$C$8,$V$7,Supuestos!$C$22+($V$7-Supuestos!$C$22)*(A49-Supuestos!$C$24)/(Supuestos!$C$8-Supuestos!$C$24))))</f>
        <v>94.15</v>
      </c>
      <c r="C49" s="31" t="n">
        <f aca="false">B49*Supuestos!$C$6</f>
        <v>564.9</v>
      </c>
      <c r="D49" s="32" t="n">
        <f aca="false">C49*Supuestos!$C$42</f>
        <v>2447.9</v>
      </c>
      <c r="E49" s="32" t="n">
        <f aca="false">IF(A49=0,0,MAX(Supuestos!$C$23,ROUNDUP(C49/Supuestos!$C$18,0)))</f>
        <v>19</v>
      </c>
      <c r="F49" s="31" t="n">
        <f aca="false">MAX(0,E49-IF(A48=0,Supuestos!$C$23,E48))+Supuestos!$C$19*E49</f>
        <v>0.57</v>
      </c>
      <c r="G49" s="32" t="n">
        <f aca="false">IF(A49=0,0,MAX(1,ROUNDUP(B49/Supuestos!$C$21,0)))</f>
        <v>2</v>
      </c>
      <c r="H49" s="33" t="n">
        <f aca="false">D49*(Supuestos!$C$14+Supuestos!$C$7)</f>
        <v>195832</v>
      </c>
      <c r="I49" s="33" t="n">
        <f aca="false">D49*Supuestos!$C$43</f>
        <v>182368.55</v>
      </c>
      <c r="J49" s="33" t="n">
        <f aca="false">IF(A49=0,0,Supuestos!$C$44+G49*Supuestos!$C$26)</f>
        <v>97300</v>
      </c>
      <c r="K49" s="21" t="n">
        <f aca="false">F49*Supuestos!$C$20</f>
        <v>1995</v>
      </c>
      <c r="L49" s="33" t="n">
        <f aca="false">IF(A49=0,Supuestos!$C$45,0)</f>
        <v>0</v>
      </c>
      <c r="M49" s="21" t="n">
        <f aca="false">IF(A49=0,-L49,H49-I49-J49-K49)</f>
        <v>-85831.55</v>
      </c>
      <c r="N49" s="21" t="n">
        <f aca="false">N48+M49</f>
        <v>-3618954.175</v>
      </c>
      <c r="O49" s="34" t="n">
        <f aca="false">1/(1+Supuestos!$C$46)^A49</f>
        <v>0.710683465650557</v>
      </c>
      <c r="P49" s="21" t="n">
        <f aca="false">M49*O49</f>
        <v>-60999.0634161591</v>
      </c>
      <c r="Q49" s="21" t="n">
        <f aca="false">Q48+P49</f>
        <v>-3065777.2885341</v>
      </c>
      <c r="R49" s="35" t="n">
        <f aca="false">IF(AND(A49&gt;0,N49&gt;=0),1,0)</f>
        <v>0</v>
      </c>
      <c r="S49" s="35" t="n">
        <f aca="false">IF(AND(A49&gt;0,Q49&gt;=0),1,0)</f>
        <v>0</v>
      </c>
    </row>
    <row r="50" customFormat="false" ht="15" hidden="false" customHeight="false" outlineLevel="0" collapsed="false">
      <c r="A50" s="24" t="n">
        <v>44</v>
      </c>
      <c r="B50" s="25" t="n">
        <f aca="false">IF(A50=0,0,IF(A50&lt;=Supuestos!$C$24,Supuestos!$C$22,IF(A50&gt;=Supuestos!$C$8,$V$7,Supuestos!$C$22+($V$7-Supuestos!$C$22)*(A50-Supuestos!$C$24)/(Supuestos!$C$8-Supuestos!$C$24))))</f>
        <v>94.15</v>
      </c>
      <c r="C50" s="25" t="n">
        <f aca="false">B50*Supuestos!$C$6</f>
        <v>564.9</v>
      </c>
      <c r="D50" s="26" t="n">
        <f aca="false">C50*Supuestos!$C$42</f>
        <v>2447.9</v>
      </c>
      <c r="E50" s="26" t="n">
        <f aca="false">IF(A50=0,0,MAX(Supuestos!$C$23,ROUNDUP(C50/Supuestos!$C$18,0)))</f>
        <v>19</v>
      </c>
      <c r="F50" s="25" t="n">
        <f aca="false">MAX(0,E50-IF(A49=0,Supuestos!$C$23,E49))+Supuestos!$C$19*E50</f>
        <v>0.57</v>
      </c>
      <c r="G50" s="26" t="n">
        <f aca="false">IF(A50=0,0,MAX(1,ROUNDUP(B50/Supuestos!$C$21,0)))</f>
        <v>2</v>
      </c>
      <c r="H50" s="27" t="n">
        <f aca="false">D50*(Supuestos!$C$14+Supuestos!$C$7)</f>
        <v>195832</v>
      </c>
      <c r="I50" s="27" t="n">
        <f aca="false">D50*Supuestos!$C$43</f>
        <v>182368.55</v>
      </c>
      <c r="J50" s="27" t="n">
        <f aca="false">IF(A50=0,0,Supuestos!$C$44+G50*Supuestos!$C$26)</f>
        <v>97300</v>
      </c>
      <c r="K50" s="28" t="n">
        <f aca="false">F50*Supuestos!$C$20</f>
        <v>1995</v>
      </c>
      <c r="L50" s="27" t="n">
        <f aca="false">IF(A50=0,Supuestos!$C$45,0)</f>
        <v>0</v>
      </c>
      <c r="M50" s="28" t="n">
        <f aca="false">IF(A50=0,-L50,H50-I50-J50-K50)</f>
        <v>-85831.55</v>
      </c>
      <c r="N50" s="28" t="n">
        <f aca="false">N49+M50</f>
        <v>-3704785.725</v>
      </c>
      <c r="O50" s="29" t="n">
        <f aca="false">1/(1+Supuestos!$C$46)^A50</f>
        <v>0.705061208562507</v>
      </c>
      <c r="P50" s="28" t="n">
        <f aca="false">M50*O50</f>
        <v>-60516.4963757932</v>
      </c>
      <c r="Q50" s="28" t="n">
        <f aca="false">Q49+P50</f>
        <v>-3126293.7849099</v>
      </c>
      <c r="R50" s="30" t="n">
        <f aca="false">IF(AND(A50&gt;0,N50&gt;=0),1,0)</f>
        <v>0</v>
      </c>
      <c r="S50" s="30" t="n">
        <f aca="false">IF(AND(A50&gt;0,Q50&gt;=0),1,0)</f>
        <v>0</v>
      </c>
    </row>
    <row r="51" customFormat="false" ht="15" hidden="false" customHeight="false" outlineLevel="0" collapsed="false">
      <c r="A51" s="4" t="n">
        <v>45</v>
      </c>
      <c r="B51" s="31" t="n">
        <f aca="false">IF(A51=0,0,IF(A51&lt;=Supuestos!$C$24,Supuestos!$C$22,IF(A51&gt;=Supuestos!$C$8,$V$7,Supuestos!$C$22+($V$7-Supuestos!$C$22)*(A51-Supuestos!$C$24)/(Supuestos!$C$8-Supuestos!$C$24))))</f>
        <v>94.15</v>
      </c>
      <c r="C51" s="31" t="n">
        <f aca="false">B51*Supuestos!$C$6</f>
        <v>564.9</v>
      </c>
      <c r="D51" s="32" t="n">
        <f aca="false">C51*Supuestos!$C$42</f>
        <v>2447.9</v>
      </c>
      <c r="E51" s="32" t="n">
        <f aca="false">IF(A51=0,0,MAX(Supuestos!$C$23,ROUNDUP(C51/Supuestos!$C$18,0)))</f>
        <v>19</v>
      </c>
      <c r="F51" s="31" t="n">
        <f aca="false">MAX(0,E51-IF(A50=0,Supuestos!$C$23,E50))+Supuestos!$C$19*E51</f>
        <v>0.57</v>
      </c>
      <c r="G51" s="32" t="n">
        <f aca="false">IF(A51=0,0,MAX(1,ROUNDUP(B51/Supuestos!$C$21,0)))</f>
        <v>2</v>
      </c>
      <c r="H51" s="33" t="n">
        <f aca="false">D51*(Supuestos!$C$14+Supuestos!$C$7)</f>
        <v>195832</v>
      </c>
      <c r="I51" s="33" t="n">
        <f aca="false">D51*Supuestos!$C$43</f>
        <v>182368.55</v>
      </c>
      <c r="J51" s="33" t="n">
        <f aca="false">IF(A51=0,0,Supuestos!$C$44+G51*Supuestos!$C$26)</f>
        <v>97300</v>
      </c>
      <c r="K51" s="21" t="n">
        <f aca="false">F51*Supuestos!$C$20</f>
        <v>1995</v>
      </c>
      <c r="L51" s="33" t="n">
        <f aca="false">IF(A51=0,Supuestos!$C$45,0)</f>
        <v>0</v>
      </c>
      <c r="M51" s="21" t="n">
        <f aca="false">IF(A51=0,-L51,H51-I51-J51-K51)</f>
        <v>-85831.55</v>
      </c>
      <c r="N51" s="21" t="n">
        <f aca="false">N50+M51</f>
        <v>-3790617.275</v>
      </c>
      <c r="O51" s="34" t="n">
        <f aca="false">1/(1+Supuestos!$C$46)^A51</f>
        <v>0.699483429468236</v>
      </c>
      <c r="P51" s="21" t="n">
        <f aca="false">M51*O51</f>
        <v>-60037.7469505744</v>
      </c>
      <c r="Q51" s="21" t="n">
        <f aca="false">Q50+P51</f>
        <v>-3186331.53186047</v>
      </c>
      <c r="R51" s="35" t="n">
        <f aca="false">IF(AND(A51&gt;0,N51&gt;=0),1,0)</f>
        <v>0</v>
      </c>
      <c r="S51" s="35" t="n">
        <f aca="false">IF(AND(A51&gt;0,Q51&gt;=0),1,0)</f>
        <v>0</v>
      </c>
    </row>
    <row r="52" customFormat="false" ht="15" hidden="false" customHeight="false" outlineLevel="0" collapsed="false">
      <c r="A52" s="24" t="n">
        <v>46</v>
      </c>
      <c r="B52" s="25" t="n">
        <f aca="false">IF(A52=0,0,IF(A52&lt;=Supuestos!$C$24,Supuestos!$C$22,IF(A52&gt;=Supuestos!$C$8,$V$7,Supuestos!$C$22+($V$7-Supuestos!$C$22)*(A52-Supuestos!$C$24)/(Supuestos!$C$8-Supuestos!$C$24))))</f>
        <v>94.15</v>
      </c>
      <c r="C52" s="25" t="n">
        <f aca="false">B52*Supuestos!$C$6</f>
        <v>564.9</v>
      </c>
      <c r="D52" s="26" t="n">
        <f aca="false">C52*Supuestos!$C$42</f>
        <v>2447.9</v>
      </c>
      <c r="E52" s="26" t="n">
        <f aca="false">IF(A52=0,0,MAX(Supuestos!$C$23,ROUNDUP(C52/Supuestos!$C$18,0)))</f>
        <v>19</v>
      </c>
      <c r="F52" s="25" t="n">
        <f aca="false">MAX(0,E52-IF(A51=0,Supuestos!$C$23,E51))+Supuestos!$C$19*E52</f>
        <v>0.57</v>
      </c>
      <c r="G52" s="26" t="n">
        <f aca="false">IF(A52=0,0,MAX(1,ROUNDUP(B52/Supuestos!$C$21,0)))</f>
        <v>2</v>
      </c>
      <c r="H52" s="27" t="n">
        <f aca="false">D52*(Supuestos!$C$14+Supuestos!$C$7)</f>
        <v>195832</v>
      </c>
      <c r="I52" s="27" t="n">
        <f aca="false">D52*Supuestos!$C$43</f>
        <v>182368.55</v>
      </c>
      <c r="J52" s="27" t="n">
        <f aca="false">IF(A52=0,0,Supuestos!$C$44+G52*Supuestos!$C$26)</f>
        <v>97300</v>
      </c>
      <c r="K52" s="28" t="n">
        <f aca="false">F52*Supuestos!$C$20</f>
        <v>1995</v>
      </c>
      <c r="L52" s="27" t="n">
        <f aca="false">IF(A52=0,Supuestos!$C$45,0)</f>
        <v>0</v>
      </c>
      <c r="M52" s="28" t="n">
        <f aca="false">IF(A52=0,-L52,H52-I52-J52-K52)</f>
        <v>-85831.55</v>
      </c>
      <c r="N52" s="28" t="n">
        <f aca="false">N51+M52</f>
        <v>-3876448.825</v>
      </c>
      <c r="O52" s="29" t="n">
        <f aca="false">1/(1+Supuestos!$C$46)^A52</f>
        <v>0.69394977649982</v>
      </c>
      <c r="P52" s="28" t="n">
        <f aca="false">M52*O52</f>
        <v>-59562.7849391331</v>
      </c>
      <c r="Q52" s="28" t="n">
        <f aca="false">Q51+P52</f>
        <v>-3245894.3167996</v>
      </c>
      <c r="R52" s="30" t="n">
        <f aca="false">IF(AND(A52&gt;0,N52&gt;=0),1,0)</f>
        <v>0</v>
      </c>
      <c r="S52" s="30" t="n">
        <f aca="false">IF(AND(A52&gt;0,Q52&gt;=0),1,0)</f>
        <v>0</v>
      </c>
    </row>
    <row r="53" customFormat="false" ht="15" hidden="false" customHeight="false" outlineLevel="0" collapsed="false">
      <c r="A53" s="4" t="n">
        <v>47</v>
      </c>
      <c r="B53" s="31" t="n">
        <f aca="false">IF(A53=0,0,IF(A53&lt;=Supuestos!$C$24,Supuestos!$C$22,IF(A53&gt;=Supuestos!$C$8,$V$7,Supuestos!$C$22+($V$7-Supuestos!$C$22)*(A53-Supuestos!$C$24)/(Supuestos!$C$8-Supuestos!$C$24))))</f>
        <v>94.15</v>
      </c>
      <c r="C53" s="31" t="n">
        <f aca="false">B53*Supuestos!$C$6</f>
        <v>564.9</v>
      </c>
      <c r="D53" s="32" t="n">
        <f aca="false">C53*Supuestos!$C$42</f>
        <v>2447.9</v>
      </c>
      <c r="E53" s="32" t="n">
        <f aca="false">IF(A53=0,0,MAX(Supuestos!$C$23,ROUNDUP(C53/Supuestos!$C$18,0)))</f>
        <v>19</v>
      </c>
      <c r="F53" s="31" t="n">
        <f aca="false">MAX(0,E53-IF(A52=0,Supuestos!$C$23,E52))+Supuestos!$C$19*E53</f>
        <v>0.57</v>
      </c>
      <c r="G53" s="32" t="n">
        <f aca="false">IF(A53=0,0,MAX(1,ROUNDUP(B53/Supuestos!$C$21,0)))</f>
        <v>2</v>
      </c>
      <c r="H53" s="33" t="n">
        <f aca="false">D53*(Supuestos!$C$14+Supuestos!$C$7)</f>
        <v>195832</v>
      </c>
      <c r="I53" s="33" t="n">
        <f aca="false">D53*Supuestos!$C$43</f>
        <v>182368.55</v>
      </c>
      <c r="J53" s="33" t="n">
        <f aca="false">IF(A53=0,0,Supuestos!$C$44+G53*Supuestos!$C$26)</f>
        <v>97300</v>
      </c>
      <c r="K53" s="21" t="n">
        <f aca="false">F53*Supuestos!$C$20</f>
        <v>1995</v>
      </c>
      <c r="L53" s="33" t="n">
        <f aca="false">IF(A53=0,Supuestos!$C$45,0)</f>
        <v>0</v>
      </c>
      <c r="M53" s="21" t="n">
        <f aca="false">IF(A53=0,-L53,H53-I53-J53-K53)</f>
        <v>-85831.55</v>
      </c>
      <c r="N53" s="21" t="n">
        <f aca="false">N52+M53</f>
        <v>-3962280.375</v>
      </c>
      <c r="O53" s="34" t="n">
        <f aca="false">1/(1+Supuestos!$C$46)^A53</f>
        <v>0.688459900572982</v>
      </c>
      <c r="P53" s="21" t="n">
        <f aca="false">M53*O53</f>
        <v>-59091.5803790249</v>
      </c>
      <c r="Q53" s="21" t="n">
        <f aca="false">Q52+P53</f>
        <v>-3304985.89717863</v>
      </c>
      <c r="R53" s="35" t="n">
        <f aca="false">IF(AND(A53&gt;0,N53&gt;=0),1,0)</f>
        <v>0</v>
      </c>
      <c r="S53" s="35" t="n">
        <f aca="false">IF(AND(A53&gt;0,Q53&gt;=0),1,0)</f>
        <v>0</v>
      </c>
    </row>
    <row r="54" customFormat="false" ht="15" hidden="false" customHeight="false" outlineLevel="0" collapsed="false">
      <c r="A54" s="24" t="n">
        <v>48</v>
      </c>
      <c r="B54" s="25" t="n">
        <f aca="false">IF(A54=0,0,IF(A54&lt;=Supuestos!$C$24,Supuestos!$C$22,IF(A54&gt;=Supuestos!$C$8,$V$7,Supuestos!$C$22+($V$7-Supuestos!$C$22)*(A54-Supuestos!$C$24)/(Supuestos!$C$8-Supuestos!$C$24))))</f>
        <v>94.15</v>
      </c>
      <c r="C54" s="25" t="n">
        <f aca="false">B54*Supuestos!$C$6</f>
        <v>564.9</v>
      </c>
      <c r="D54" s="26" t="n">
        <f aca="false">C54*Supuestos!$C$42</f>
        <v>2447.9</v>
      </c>
      <c r="E54" s="26" t="n">
        <f aca="false">IF(A54=0,0,MAX(Supuestos!$C$23,ROUNDUP(C54/Supuestos!$C$18,0)))</f>
        <v>19</v>
      </c>
      <c r="F54" s="25" t="n">
        <f aca="false">MAX(0,E54-IF(A53=0,Supuestos!$C$23,E53))+Supuestos!$C$19*E54</f>
        <v>0.57</v>
      </c>
      <c r="G54" s="26" t="n">
        <f aca="false">IF(A54=0,0,MAX(1,ROUNDUP(B54/Supuestos!$C$21,0)))</f>
        <v>2</v>
      </c>
      <c r="H54" s="27" t="n">
        <f aca="false">D54*(Supuestos!$C$14+Supuestos!$C$7)</f>
        <v>195832</v>
      </c>
      <c r="I54" s="27" t="n">
        <f aca="false">D54*Supuestos!$C$43</f>
        <v>182368.55</v>
      </c>
      <c r="J54" s="27" t="n">
        <f aca="false">IF(A54=0,0,Supuestos!$C$44+G54*Supuestos!$C$26)</f>
        <v>97300</v>
      </c>
      <c r="K54" s="28" t="n">
        <f aca="false">F54*Supuestos!$C$20</f>
        <v>1995</v>
      </c>
      <c r="L54" s="27" t="n">
        <f aca="false">IF(A54=0,Supuestos!$C$45,0)</f>
        <v>0</v>
      </c>
      <c r="M54" s="28" t="n">
        <f aca="false">IF(A54=0,-L54,H54-I54-J54-K54)</f>
        <v>-85831.55</v>
      </c>
      <c r="N54" s="28" t="n">
        <f aca="false">N53+M54</f>
        <v>-4048111.925</v>
      </c>
      <c r="O54" s="29" t="n">
        <f aca="false">1/(1+Supuestos!$C$46)^A54</f>
        <v>0.68301345536507</v>
      </c>
      <c r="P54" s="28" t="n">
        <f aca="false">M54*O54</f>
        <v>-58624.1035448398</v>
      </c>
      <c r="Q54" s="28" t="n">
        <f aca="false">Q53+P54</f>
        <v>-3363610.00072347</v>
      </c>
      <c r="R54" s="30" t="n">
        <f aca="false">IF(AND(A54&gt;0,N54&gt;=0),1,0)</f>
        <v>0</v>
      </c>
      <c r="S54" s="30" t="n">
        <f aca="false">IF(AND(A54&gt;0,Q54&gt;=0),1,0)</f>
        <v>0</v>
      </c>
    </row>
    <row r="55" customFormat="false" ht="15" hidden="false" customHeight="false" outlineLevel="0" collapsed="false">
      <c r="A55" s="4" t="n">
        <v>49</v>
      </c>
      <c r="B55" s="31" t="n">
        <f aca="false">IF(A55=0,0,IF(A55&lt;=Supuestos!$C$24,Supuestos!$C$22,IF(A55&gt;=Supuestos!$C$8,$V$7,Supuestos!$C$22+($V$7-Supuestos!$C$22)*(A55-Supuestos!$C$24)/(Supuestos!$C$8-Supuestos!$C$24))))</f>
        <v>94.15</v>
      </c>
      <c r="C55" s="31" t="n">
        <f aca="false">B55*Supuestos!$C$6</f>
        <v>564.9</v>
      </c>
      <c r="D55" s="32" t="n">
        <f aca="false">C55*Supuestos!$C$42</f>
        <v>2447.9</v>
      </c>
      <c r="E55" s="32" t="n">
        <f aca="false">IF(A55=0,0,MAX(Supuestos!$C$23,ROUNDUP(C55/Supuestos!$C$18,0)))</f>
        <v>19</v>
      </c>
      <c r="F55" s="31" t="n">
        <f aca="false">MAX(0,E55-IF(A54=0,Supuestos!$C$23,E54))+Supuestos!$C$19*E55</f>
        <v>0.57</v>
      </c>
      <c r="G55" s="32" t="n">
        <f aca="false">IF(A55=0,0,MAX(1,ROUNDUP(B55/Supuestos!$C$21,0)))</f>
        <v>2</v>
      </c>
      <c r="H55" s="33" t="n">
        <f aca="false">D55*(Supuestos!$C$14+Supuestos!$C$7)</f>
        <v>195832</v>
      </c>
      <c r="I55" s="33" t="n">
        <f aca="false">D55*Supuestos!$C$43</f>
        <v>182368.55</v>
      </c>
      <c r="J55" s="33" t="n">
        <f aca="false">IF(A55=0,0,Supuestos!$C$44+G55*Supuestos!$C$26)</f>
        <v>97300</v>
      </c>
      <c r="K55" s="21" t="n">
        <f aca="false">F55*Supuestos!$C$20</f>
        <v>1995</v>
      </c>
      <c r="L55" s="33" t="n">
        <f aca="false">IF(A55=0,Supuestos!$C$45,0)</f>
        <v>0</v>
      </c>
      <c r="M55" s="21" t="n">
        <f aca="false">IF(A55=0,-L55,H55-I55-J55-K55)</f>
        <v>-85831.55</v>
      </c>
      <c r="N55" s="21" t="n">
        <f aca="false">N54+M55</f>
        <v>-4133943.475</v>
      </c>
      <c r="O55" s="34" t="n">
        <f aca="false">1/(1+Supuestos!$C$46)^A55</f>
        <v>0.677610097293211</v>
      </c>
      <c r="P55" s="21" t="n">
        <f aca="false">M55*O55</f>
        <v>-58160.3249463271</v>
      </c>
      <c r="Q55" s="21" t="n">
        <f aca="false">Q54+P55</f>
        <v>-3421770.3256698</v>
      </c>
      <c r="R55" s="35" t="n">
        <f aca="false">IF(AND(A55&gt;0,N55&gt;=0),1,0)</f>
        <v>0</v>
      </c>
      <c r="S55" s="35" t="n">
        <f aca="false">IF(AND(A55&gt;0,Q55&gt;=0),1,0)</f>
        <v>0</v>
      </c>
    </row>
    <row r="56" customFormat="false" ht="15" hidden="false" customHeight="false" outlineLevel="0" collapsed="false">
      <c r="A56" s="24" t="n">
        <v>50</v>
      </c>
      <c r="B56" s="25" t="n">
        <f aca="false">IF(A56=0,0,IF(A56&lt;=Supuestos!$C$24,Supuestos!$C$22,IF(A56&gt;=Supuestos!$C$8,$V$7,Supuestos!$C$22+($V$7-Supuestos!$C$22)*(A56-Supuestos!$C$24)/(Supuestos!$C$8-Supuestos!$C$24))))</f>
        <v>94.15</v>
      </c>
      <c r="C56" s="25" t="n">
        <f aca="false">B56*Supuestos!$C$6</f>
        <v>564.9</v>
      </c>
      <c r="D56" s="26" t="n">
        <f aca="false">C56*Supuestos!$C$42</f>
        <v>2447.9</v>
      </c>
      <c r="E56" s="26" t="n">
        <f aca="false">IF(A56=0,0,MAX(Supuestos!$C$23,ROUNDUP(C56/Supuestos!$C$18,0)))</f>
        <v>19</v>
      </c>
      <c r="F56" s="25" t="n">
        <f aca="false">MAX(0,E56-IF(A55=0,Supuestos!$C$23,E55))+Supuestos!$C$19*E56</f>
        <v>0.57</v>
      </c>
      <c r="G56" s="26" t="n">
        <f aca="false">IF(A56=0,0,MAX(1,ROUNDUP(B56/Supuestos!$C$21,0)))</f>
        <v>2</v>
      </c>
      <c r="H56" s="27" t="n">
        <f aca="false">D56*(Supuestos!$C$14+Supuestos!$C$7)</f>
        <v>195832</v>
      </c>
      <c r="I56" s="27" t="n">
        <f aca="false">D56*Supuestos!$C$43</f>
        <v>182368.55</v>
      </c>
      <c r="J56" s="27" t="n">
        <f aca="false">IF(A56=0,0,Supuestos!$C$44+G56*Supuestos!$C$26)</f>
        <v>97300</v>
      </c>
      <c r="K56" s="28" t="n">
        <f aca="false">F56*Supuestos!$C$20</f>
        <v>1995</v>
      </c>
      <c r="L56" s="27" t="n">
        <f aca="false">IF(A56=0,Supuestos!$C$45,0)</f>
        <v>0</v>
      </c>
      <c r="M56" s="28" t="n">
        <f aca="false">IF(A56=0,-L56,H56-I56-J56-K56)</f>
        <v>-85831.55</v>
      </c>
      <c r="N56" s="28" t="n">
        <f aca="false">N55+M56</f>
        <v>-4219775.025</v>
      </c>
      <c r="O56" s="29" t="n">
        <f aca="false">1/(1+Supuestos!$C$46)^A56</f>
        <v>0.672249485492634</v>
      </c>
      <c r="P56" s="28" t="n">
        <f aca="false">M56*O56</f>
        <v>-57700.2153265353</v>
      </c>
      <c r="Q56" s="28" t="n">
        <f aca="false">Q55+P56</f>
        <v>-3479470.54099633</v>
      </c>
      <c r="R56" s="30" t="n">
        <f aca="false">IF(AND(A56&gt;0,N56&gt;=0),1,0)</f>
        <v>0</v>
      </c>
      <c r="S56" s="30" t="n">
        <f aca="false">IF(AND(A56&gt;0,Q56&gt;=0),1,0)</f>
        <v>0</v>
      </c>
    </row>
    <row r="57" customFormat="false" ht="15" hidden="false" customHeight="false" outlineLevel="0" collapsed="false">
      <c r="A57" s="4" t="n">
        <v>51</v>
      </c>
      <c r="B57" s="31" t="n">
        <f aca="false">IF(A57=0,0,IF(A57&lt;=Supuestos!$C$24,Supuestos!$C$22,IF(A57&gt;=Supuestos!$C$8,$V$7,Supuestos!$C$22+($V$7-Supuestos!$C$22)*(A57-Supuestos!$C$24)/(Supuestos!$C$8-Supuestos!$C$24))))</f>
        <v>94.15</v>
      </c>
      <c r="C57" s="31" t="n">
        <f aca="false">B57*Supuestos!$C$6</f>
        <v>564.9</v>
      </c>
      <c r="D57" s="32" t="n">
        <f aca="false">C57*Supuestos!$C$42</f>
        <v>2447.9</v>
      </c>
      <c r="E57" s="32" t="n">
        <f aca="false">IF(A57=0,0,MAX(Supuestos!$C$23,ROUNDUP(C57/Supuestos!$C$18,0)))</f>
        <v>19</v>
      </c>
      <c r="F57" s="31" t="n">
        <f aca="false">MAX(0,E57-IF(A56=0,Supuestos!$C$23,E56))+Supuestos!$C$19*E57</f>
        <v>0.57</v>
      </c>
      <c r="G57" s="32" t="n">
        <f aca="false">IF(A57=0,0,MAX(1,ROUNDUP(B57/Supuestos!$C$21,0)))</f>
        <v>2</v>
      </c>
      <c r="H57" s="33" t="n">
        <f aca="false">D57*(Supuestos!$C$14+Supuestos!$C$7)</f>
        <v>195832</v>
      </c>
      <c r="I57" s="33" t="n">
        <f aca="false">D57*Supuestos!$C$43</f>
        <v>182368.55</v>
      </c>
      <c r="J57" s="33" t="n">
        <f aca="false">IF(A57=0,0,Supuestos!$C$44+G57*Supuestos!$C$26)</f>
        <v>97300</v>
      </c>
      <c r="K57" s="21" t="n">
        <f aca="false">F57*Supuestos!$C$20</f>
        <v>1995</v>
      </c>
      <c r="L57" s="33" t="n">
        <f aca="false">IF(A57=0,Supuestos!$C$45,0)</f>
        <v>0</v>
      </c>
      <c r="M57" s="21" t="n">
        <f aca="false">IF(A57=0,-L57,H57-I57-J57-K57)</f>
        <v>-85831.55</v>
      </c>
      <c r="N57" s="21" t="n">
        <f aca="false">N56+M57</f>
        <v>-4305606.575</v>
      </c>
      <c r="O57" s="34" t="n">
        <f aca="false">1/(1+Supuestos!$C$46)^A57</f>
        <v>0.666931281795171</v>
      </c>
      <c r="P57" s="21" t="n">
        <f aca="false">M57*O57</f>
        <v>-57243.7456599663</v>
      </c>
      <c r="Q57" s="21" t="n">
        <f aca="false">Q56+P57</f>
        <v>-3536714.2866563</v>
      </c>
      <c r="R57" s="35" t="n">
        <f aca="false">IF(AND(A57&gt;0,N57&gt;=0),1,0)</f>
        <v>0</v>
      </c>
      <c r="S57" s="35" t="n">
        <f aca="false">IF(AND(A57&gt;0,Q57&gt;=0),1,0)</f>
        <v>0</v>
      </c>
    </row>
    <row r="58" customFormat="false" ht="15" hidden="false" customHeight="false" outlineLevel="0" collapsed="false">
      <c r="A58" s="24" t="n">
        <v>52</v>
      </c>
      <c r="B58" s="25" t="n">
        <f aca="false">IF(A58=0,0,IF(A58&lt;=Supuestos!$C$24,Supuestos!$C$22,IF(A58&gt;=Supuestos!$C$8,$V$7,Supuestos!$C$22+($V$7-Supuestos!$C$22)*(A58-Supuestos!$C$24)/(Supuestos!$C$8-Supuestos!$C$24))))</f>
        <v>94.15</v>
      </c>
      <c r="C58" s="25" t="n">
        <f aca="false">B58*Supuestos!$C$6</f>
        <v>564.9</v>
      </c>
      <c r="D58" s="26" t="n">
        <f aca="false">C58*Supuestos!$C$42</f>
        <v>2447.9</v>
      </c>
      <c r="E58" s="26" t="n">
        <f aca="false">IF(A58=0,0,MAX(Supuestos!$C$23,ROUNDUP(C58/Supuestos!$C$18,0)))</f>
        <v>19</v>
      </c>
      <c r="F58" s="25" t="n">
        <f aca="false">MAX(0,E58-IF(A57=0,Supuestos!$C$23,E57))+Supuestos!$C$19*E58</f>
        <v>0.57</v>
      </c>
      <c r="G58" s="26" t="n">
        <f aca="false">IF(A58=0,0,MAX(1,ROUNDUP(B58/Supuestos!$C$21,0)))</f>
        <v>2</v>
      </c>
      <c r="H58" s="27" t="n">
        <f aca="false">D58*(Supuestos!$C$14+Supuestos!$C$7)</f>
        <v>195832</v>
      </c>
      <c r="I58" s="27" t="n">
        <f aca="false">D58*Supuestos!$C$43</f>
        <v>182368.55</v>
      </c>
      <c r="J58" s="27" t="n">
        <f aca="false">IF(A58=0,0,Supuestos!$C$44+G58*Supuestos!$C$26)</f>
        <v>97300</v>
      </c>
      <c r="K58" s="28" t="n">
        <f aca="false">F58*Supuestos!$C$20</f>
        <v>1995</v>
      </c>
      <c r="L58" s="27" t="n">
        <f aca="false">IF(A58=0,Supuestos!$C$45,0)</f>
        <v>0</v>
      </c>
      <c r="M58" s="28" t="n">
        <f aca="false">IF(A58=0,-L58,H58-I58-J58-K58)</f>
        <v>-85831.55</v>
      </c>
      <c r="N58" s="28" t="n">
        <f aca="false">N57+M58</f>
        <v>-4391438.125</v>
      </c>
      <c r="O58" s="29" t="n">
        <f aca="false">1/(1+Supuestos!$C$46)^A58</f>
        <v>0.661655150707918</v>
      </c>
      <c r="P58" s="28" t="n">
        <f aca="false">M58*O58</f>
        <v>-56790.8871507442</v>
      </c>
      <c r="Q58" s="28" t="n">
        <f aca="false">Q57+P58</f>
        <v>-3593505.17380704</v>
      </c>
      <c r="R58" s="30" t="n">
        <f aca="false">IF(AND(A58&gt;0,N58&gt;=0),1,0)</f>
        <v>0</v>
      </c>
      <c r="S58" s="30" t="n">
        <f aca="false">IF(AND(A58&gt;0,Q58&gt;=0),1,0)</f>
        <v>0</v>
      </c>
    </row>
    <row r="59" customFormat="false" ht="15" hidden="false" customHeight="false" outlineLevel="0" collapsed="false">
      <c r="A59" s="4" t="n">
        <v>53</v>
      </c>
      <c r="B59" s="31" t="n">
        <f aca="false">IF(A59=0,0,IF(A59&lt;=Supuestos!$C$24,Supuestos!$C$22,IF(A59&gt;=Supuestos!$C$8,$V$7,Supuestos!$C$22+($V$7-Supuestos!$C$22)*(A59-Supuestos!$C$24)/(Supuestos!$C$8-Supuestos!$C$24))))</f>
        <v>94.15</v>
      </c>
      <c r="C59" s="31" t="n">
        <f aca="false">B59*Supuestos!$C$6</f>
        <v>564.9</v>
      </c>
      <c r="D59" s="32" t="n">
        <f aca="false">C59*Supuestos!$C$42</f>
        <v>2447.9</v>
      </c>
      <c r="E59" s="32" t="n">
        <f aca="false">IF(A59=0,0,MAX(Supuestos!$C$23,ROUNDUP(C59/Supuestos!$C$18,0)))</f>
        <v>19</v>
      </c>
      <c r="F59" s="31" t="n">
        <f aca="false">MAX(0,E59-IF(A58=0,Supuestos!$C$23,E58))+Supuestos!$C$19*E59</f>
        <v>0.57</v>
      </c>
      <c r="G59" s="32" t="n">
        <f aca="false">IF(A59=0,0,MAX(1,ROUNDUP(B59/Supuestos!$C$21,0)))</f>
        <v>2</v>
      </c>
      <c r="H59" s="33" t="n">
        <f aca="false">D59*(Supuestos!$C$14+Supuestos!$C$7)</f>
        <v>195832</v>
      </c>
      <c r="I59" s="33" t="n">
        <f aca="false">D59*Supuestos!$C$43</f>
        <v>182368.55</v>
      </c>
      <c r="J59" s="33" t="n">
        <f aca="false">IF(A59=0,0,Supuestos!$C$44+G59*Supuestos!$C$26)</f>
        <v>97300</v>
      </c>
      <c r="K59" s="21" t="n">
        <f aca="false">F59*Supuestos!$C$20</f>
        <v>1995</v>
      </c>
      <c r="L59" s="33" t="n">
        <f aca="false">IF(A59=0,Supuestos!$C$45,0)</f>
        <v>0</v>
      </c>
      <c r="M59" s="21" t="n">
        <f aca="false">IF(A59=0,-L59,H59-I59-J59-K59)</f>
        <v>-85831.55</v>
      </c>
      <c r="N59" s="21" t="n">
        <f aca="false">N58+M59</f>
        <v>-4477269.675</v>
      </c>
      <c r="O59" s="34" t="n">
        <f aca="false">1/(1+Supuestos!$C$46)^A59</f>
        <v>0.656420759392078</v>
      </c>
      <c r="P59" s="21" t="n">
        <f aca="false">M59*O59</f>
        <v>-56341.6112307991</v>
      </c>
      <c r="Q59" s="21" t="n">
        <f aca="false">Q58+P59</f>
        <v>-3649846.78503784</v>
      </c>
      <c r="R59" s="35" t="n">
        <f aca="false">IF(AND(A59&gt;0,N59&gt;=0),1,0)</f>
        <v>0</v>
      </c>
      <c r="S59" s="35" t="n">
        <f aca="false">IF(AND(A59&gt;0,Q59&gt;=0),1,0)</f>
        <v>0</v>
      </c>
    </row>
    <row r="60" customFormat="false" ht="15" hidden="false" customHeight="false" outlineLevel="0" collapsed="false">
      <c r="A60" s="24" t="n">
        <v>54</v>
      </c>
      <c r="B60" s="25" t="n">
        <f aca="false">IF(A60=0,0,IF(A60&lt;=Supuestos!$C$24,Supuestos!$C$22,IF(A60&gt;=Supuestos!$C$8,$V$7,Supuestos!$C$22+($V$7-Supuestos!$C$22)*(A60-Supuestos!$C$24)/(Supuestos!$C$8-Supuestos!$C$24))))</f>
        <v>94.15</v>
      </c>
      <c r="C60" s="25" t="n">
        <f aca="false">B60*Supuestos!$C$6</f>
        <v>564.9</v>
      </c>
      <c r="D60" s="26" t="n">
        <f aca="false">C60*Supuestos!$C$42</f>
        <v>2447.9</v>
      </c>
      <c r="E60" s="26" t="n">
        <f aca="false">IF(A60=0,0,MAX(Supuestos!$C$23,ROUNDUP(C60/Supuestos!$C$18,0)))</f>
        <v>19</v>
      </c>
      <c r="F60" s="25" t="n">
        <f aca="false">MAX(0,E60-IF(A59=0,Supuestos!$C$23,E59))+Supuestos!$C$19*E60</f>
        <v>0.57</v>
      </c>
      <c r="G60" s="26" t="n">
        <f aca="false">IF(A60=0,0,MAX(1,ROUNDUP(B60/Supuestos!$C$21,0)))</f>
        <v>2</v>
      </c>
      <c r="H60" s="27" t="n">
        <f aca="false">D60*(Supuestos!$C$14+Supuestos!$C$7)</f>
        <v>195832</v>
      </c>
      <c r="I60" s="27" t="n">
        <f aca="false">D60*Supuestos!$C$43</f>
        <v>182368.55</v>
      </c>
      <c r="J60" s="27" t="n">
        <f aca="false">IF(A60=0,0,Supuestos!$C$44+G60*Supuestos!$C$26)</f>
        <v>97300</v>
      </c>
      <c r="K60" s="28" t="n">
        <f aca="false">F60*Supuestos!$C$20</f>
        <v>1995</v>
      </c>
      <c r="L60" s="27" t="n">
        <f aca="false">IF(A60=0,Supuestos!$C$45,0)</f>
        <v>0</v>
      </c>
      <c r="M60" s="28" t="n">
        <f aca="false">IF(A60=0,-L60,H60-I60-J60-K60)</f>
        <v>-85831.55</v>
      </c>
      <c r="N60" s="28" t="n">
        <f aca="false">N59+M60</f>
        <v>-4563101.225</v>
      </c>
      <c r="O60" s="29" t="n">
        <f aca="false">1/(1+Supuestos!$C$46)^A60</f>
        <v>0.651227777641958</v>
      </c>
      <c r="P60" s="28" t="n">
        <f aca="false">M60*O60</f>
        <v>-55895.8895580646</v>
      </c>
      <c r="Q60" s="28" t="n">
        <f aca="false">Q59+P60</f>
        <v>-3705742.67459591</v>
      </c>
      <c r="R60" s="30" t="n">
        <f aca="false">IF(AND(A60&gt;0,N60&gt;=0),1,0)</f>
        <v>0</v>
      </c>
      <c r="S60" s="30" t="n">
        <f aca="false">IF(AND(A60&gt;0,Q60&gt;=0),1,0)</f>
        <v>0</v>
      </c>
    </row>
    <row r="61" customFormat="false" ht="15" hidden="false" customHeight="false" outlineLevel="0" collapsed="false">
      <c r="A61" s="4" t="n">
        <v>55</v>
      </c>
      <c r="B61" s="31" t="n">
        <f aca="false">IF(A61=0,0,IF(A61&lt;=Supuestos!$C$24,Supuestos!$C$22,IF(A61&gt;=Supuestos!$C$8,$V$7,Supuestos!$C$22+($V$7-Supuestos!$C$22)*(A61-Supuestos!$C$24)/(Supuestos!$C$8-Supuestos!$C$24))))</f>
        <v>94.15</v>
      </c>
      <c r="C61" s="31" t="n">
        <f aca="false">B61*Supuestos!$C$6</f>
        <v>564.9</v>
      </c>
      <c r="D61" s="32" t="n">
        <f aca="false">C61*Supuestos!$C$42</f>
        <v>2447.9</v>
      </c>
      <c r="E61" s="32" t="n">
        <f aca="false">IF(A61=0,0,MAX(Supuestos!$C$23,ROUNDUP(C61/Supuestos!$C$18,0)))</f>
        <v>19</v>
      </c>
      <c r="F61" s="31" t="n">
        <f aca="false">MAX(0,E61-IF(A60=0,Supuestos!$C$23,E60))+Supuestos!$C$19*E61</f>
        <v>0.57</v>
      </c>
      <c r="G61" s="32" t="n">
        <f aca="false">IF(A61=0,0,MAX(1,ROUNDUP(B61/Supuestos!$C$21,0)))</f>
        <v>2</v>
      </c>
      <c r="H61" s="33" t="n">
        <f aca="false">D61*(Supuestos!$C$14+Supuestos!$C$7)</f>
        <v>195832</v>
      </c>
      <c r="I61" s="33" t="n">
        <f aca="false">D61*Supuestos!$C$43</f>
        <v>182368.55</v>
      </c>
      <c r="J61" s="33" t="n">
        <f aca="false">IF(A61=0,0,Supuestos!$C$44+G61*Supuestos!$C$26)</f>
        <v>97300</v>
      </c>
      <c r="K61" s="21" t="n">
        <f aca="false">F61*Supuestos!$C$20</f>
        <v>1995</v>
      </c>
      <c r="L61" s="33" t="n">
        <f aca="false">IF(A61=0,Supuestos!$C$45,0)</f>
        <v>0</v>
      </c>
      <c r="M61" s="21" t="n">
        <f aca="false">IF(A61=0,-L61,H61-I61-J61-K61)</f>
        <v>-85831.55</v>
      </c>
      <c r="N61" s="21" t="n">
        <f aca="false">N60+M61</f>
        <v>-4648932.775</v>
      </c>
      <c r="O61" s="34" t="n">
        <f aca="false">1/(1+Supuestos!$C$46)^A61</f>
        <v>0.646075877864142</v>
      </c>
      <c r="P61" s="21" t="n">
        <f aca="false">M61*O61</f>
        <v>-55453.69401469</v>
      </c>
      <c r="Q61" s="21" t="n">
        <f aca="false">Q60+P61</f>
        <v>-3761196.3686106</v>
      </c>
      <c r="R61" s="35" t="n">
        <f aca="false">IF(AND(A61&gt;0,N61&gt;=0),1,0)</f>
        <v>0</v>
      </c>
      <c r="S61" s="35" t="n">
        <f aca="false">IF(AND(A61&gt;0,Q61&gt;=0),1,0)</f>
        <v>0</v>
      </c>
    </row>
    <row r="62" customFormat="false" ht="15" hidden="false" customHeight="false" outlineLevel="0" collapsed="false">
      <c r="A62" s="24" t="n">
        <v>56</v>
      </c>
      <c r="B62" s="25" t="n">
        <f aca="false">IF(A62=0,0,IF(A62&lt;=Supuestos!$C$24,Supuestos!$C$22,IF(A62&gt;=Supuestos!$C$8,$V$7,Supuestos!$C$22+($V$7-Supuestos!$C$22)*(A62-Supuestos!$C$24)/(Supuestos!$C$8-Supuestos!$C$24))))</f>
        <v>94.15</v>
      </c>
      <c r="C62" s="25" t="n">
        <f aca="false">B62*Supuestos!$C$6</f>
        <v>564.9</v>
      </c>
      <c r="D62" s="26" t="n">
        <f aca="false">C62*Supuestos!$C$42</f>
        <v>2447.9</v>
      </c>
      <c r="E62" s="26" t="n">
        <f aca="false">IF(A62=0,0,MAX(Supuestos!$C$23,ROUNDUP(C62/Supuestos!$C$18,0)))</f>
        <v>19</v>
      </c>
      <c r="F62" s="25" t="n">
        <f aca="false">MAX(0,E62-IF(A61=0,Supuestos!$C$23,E61))+Supuestos!$C$19*E62</f>
        <v>0.57</v>
      </c>
      <c r="G62" s="26" t="n">
        <f aca="false">IF(A62=0,0,MAX(1,ROUNDUP(B62/Supuestos!$C$21,0)))</f>
        <v>2</v>
      </c>
      <c r="H62" s="27" t="n">
        <f aca="false">D62*(Supuestos!$C$14+Supuestos!$C$7)</f>
        <v>195832</v>
      </c>
      <c r="I62" s="27" t="n">
        <f aca="false">D62*Supuestos!$C$43</f>
        <v>182368.55</v>
      </c>
      <c r="J62" s="27" t="n">
        <f aca="false">IF(A62=0,0,Supuestos!$C$44+G62*Supuestos!$C$26)</f>
        <v>97300</v>
      </c>
      <c r="K62" s="28" t="n">
        <f aca="false">F62*Supuestos!$C$20</f>
        <v>1995</v>
      </c>
      <c r="L62" s="27" t="n">
        <f aca="false">IF(A62=0,Supuestos!$C$45,0)</f>
        <v>0</v>
      </c>
      <c r="M62" s="28" t="n">
        <f aca="false">IF(A62=0,-L62,H62-I62-J62-K62)</f>
        <v>-85831.55</v>
      </c>
      <c r="N62" s="28" t="n">
        <f aca="false">N61+M62</f>
        <v>-4734764.325</v>
      </c>
      <c r="O62" s="29" t="n">
        <f aca="false">1/(1+Supuestos!$C$46)^A62</f>
        <v>0.640964735056824</v>
      </c>
      <c r="P62" s="28" t="n">
        <f aca="false">M62*O62</f>
        <v>-55014.9967052666</v>
      </c>
      <c r="Q62" s="28" t="n">
        <f aca="false">Q61+P62</f>
        <v>-3816211.36531586</v>
      </c>
      <c r="R62" s="30" t="n">
        <f aca="false">IF(AND(A62&gt;0,N62&gt;=0),1,0)</f>
        <v>0</v>
      </c>
      <c r="S62" s="30" t="n">
        <f aca="false">IF(AND(A62&gt;0,Q62&gt;=0),1,0)</f>
        <v>0</v>
      </c>
    </row>
    <row r="63" customFormat="false" ht="15" hidden="false" customHeight="false" outlineLevel="0" collapsed="false">
      <c r="A63" s="4" t="n">
        <v>57</v>
      </c>
      <c r="B63" s="31" t="n">
        <f aca="false">IF(A63=0,0,IF(A63&lt;=Supuestos!$C$24,Supuestos!$C$22,IF(A63&gt;=Supuestos!$C$8,$V$7,Supuestos!$C$22+($V$7-Supuestos!$C$22)*(A63-Supuestos!$C$24)/(Supuestos!$C$8-Supuestos!$C$24))))</f>
        <v>94.15</v>
      </c>
      <c r="C63" s="31" t="n">
        <f aca="false">B63*Supuestos!$C$6</f>
        <v>564.9</v>
      </c>
      <c r="D63" s="32" t="n">
        <f aca="false">C63*Supuestos!$C$42</f>
        <v>2447.9</v>
      </c>
      <c r="E63" s="32" t="n">
        <f aca="false">IF(A63=0,0,MAX(Supuestos!$C$23,ROUNDUP(C63/Supuestos!$C$18,0)))</f>
        <v>19</v>
      </c>
      <c r="F63" s="31" t="n">
        <f aca="false">MAX(0,E63-IF(A62=0,Supuestos!$C$23,E62))+Supuestos!$C$19*E63</f>
        <v>0.57</v>
      </c>
      <c r="G63" s="32" t="n">
        <f aca="false">IF(A63=0,0,MAX(1,ROUNDUP(B63/Supuestos!$C$21,0)))</f>
        <v>2</v>
      </c>
      <c r="H63" s="33" t="n">
        <f aca="false">D63*(Supuestos!$C$14+Supuestos!$C$7)</f>
        <v>195832</v>
      </c>
      <c r="I63" s="33" t="n">
        <f aca="false">D63*Supuestos!$C$43</f>
        <v>182368.55</v>
      </c>
      <c r="J63" s="33" t="n">
        <f aca="false">IF(A63=0,0,Supuestos!$C$44+G63*Supuestos!$C$26)</f>
        <v>97300</v>
      </c>
      <c r="K63" s="21" t="n">
        <f aca="false">F63*Supuestos!$C$20</f>
        <v>1995</v>
      </c>
      <c r="L63" s="33" t="n">
        <f aca="false">IF(A63=0,Supuestos!$C$45,0)</f>
        <v>0</v>
      </c>
      <c r="M63" s="21" t="n">
        <f aca="false">IF(A63=0,-L63,H63-I63-J63-K63)</f>
        <v>-85831.55</v>
      </c>
      <c r="N63" s="21" t="n">
        <f aca="false">N62+M63</f>
        <v>-4820595.87499999</v>
      </c>
      <c r="O63" s="34" t="n">
        <f aca="false">1/(1+Supuestos!$C$46)^A63</f>
        <v>0.635894026789305</v>
      </c>
      <c r="P63" s="21" t="n">
        <f aca="false">M63*O63</f>
        <v>-54579.7699550676</v>
      </c>
      <c r="Q63" s="21" t="n">
        <f aca="false">Q62+P63</f>
        <v>-3870791.13527093</v>
      </c>
      <c r="R63" s="35" t="n">
        <f aca="false">IF(AND(A63&gt;0,N63&gt;=0),1,0)</f>
        <v>0</v>
      </c>
      <c r="S63" s="35" t="n">
        <f aca="false">IF(AND(A63&gt;0,Q63&gt;=0),1,0)</f>
        <v>0</v>
      </c>
    </row>
    <row r="64" customFormat="false" ht="15" hidden="false" customHeight="false" outlineLevel="0" collapsed="false">
      <c r="A64" s="24" t="n">
        <v>58</v>
      </c>
      <c r="B64" s="25" t="n">
        <f aca="false">IF(A64=0,0,IF(A64&lt;=Supuestos!$C$24,Supuestos!$C$22,IF(A64&gt;=Supuestos!$C$8,$V$7,Supuestos!$C$22+($V$7-Supuestos!$C$22)*(A64-Supuestos!$C$24)/(Supuestos!$C$8-Supuestos!$C$24))))</f>
        <v>94.15</v>
      </c>
      <c r="C64" s="25" t="n">
        <f aca="false">B64*Supuestos!$C$6</f>
        <v>564.9</v>
      </c>
      <c r="D64" s="26" t="n">
        <f aca="false">C64*Supuestos!$C$42</f>
        <v>2447.9</v>
      </c>
      <c r="E64" s="26" t="n">
        <f aca="false">IF(A64=0,0,MAX(Supuestos!$C$23,ROUNDUP(C64/Supuestos!$C$18,0)))</f>
        <v>19</v>
      </c>
      <c r="F64" s="25" t="n">
        <f aca="false">MAX(0,E64-IF(A63=0,Supuestos!$C$23,E63))+Supuestos!$C$19*E64</f>
        <v>0.57</v>
      </c>
      <c r="G64" s="26" t="n">
        <f aca="false">IF(A64=0,0,MAX(1,ROUNDUP(B64/Supuestos!$C$21,0)))</f>
        <v>2</v>
      </c>
      <c r="H64" s="27" t="n">
        <f aca="false">D64*(Supuestos!$C$14+Supuestos!$C$7)</f>
        <v>195832</v>
      </c>
      <c r="I64" s="27" t="n">
        <f aca="false">D64*Supuestos!$C$43</f>
        <v>182368.55</v>
      </c>
      <c r="J64" s="27" t="n">
        <f aca="false">IF(A64=0,0,Supuestos!$C$44+G64*Supuestos!$C$26)</f>
        <v>97300</v>
      </c>
      <c r="K64" s="28" t="n">
        <f aca="false">F64*Supuestos!$C$20</f>
        <v>1995</v>
      </c>
      <c r="L64" s="27" t="n">
        <f aca="false">IF(A64=0,Supuestos!$C$45,0)</f>
        <v>0</v>
      </c>
      <c r="M64" s="28" t="n">
        <f aca="false">IF(A64=0,-L64,H64-I64-J64-K64)</f>
        <v>-85831.55</v>
      </c>
      <c r="N64" s="28" t="n">
        <f aca="false">N63+M64</f>
        <v>-4906427.42499999</v>
      </c>
      <c r="O64" s="29" t="n">
        <f aca="false">1/(1+Supuestos!$C$46)^A64</f>
        <v>0.630863433181654</v>
      </c>
      <c r="P64" s="28" t="n">
        <f aca="false">M64*O64</f>
        <v>-54147.9863083028</v>
      </c>
      <c r="Q64" s="28" t="n">
        <f aca="false">Q63+P64</f>
        <v>-3924939.12157923</v>
      </c>
      <c r="R64" s="30" t="n">
        <f aca="false">IF(AND(A64&gt;0,N64&gt;=0),1,0)</f>
        <v>0</v>
      </c>
      <c r="S64" s="30" t="n">
        <f aca="false">IF(AND(A64&gt;0,Q64&gt;=0),1,0)</f>
        <v>0</v>
      </c>
    </row>
    <row r="65" customFormat="false" ht="15" hidden="false" customHeight="false" outlineLevel="0" collapsed="false">
      <c r="A65" s="4" t="n">
        <v>59</v>
      </c>
      <c r="B65" s="31" t="n">
        <f aca="false">IF(A65=0,0,IF(A65&lt;=Supuestos!$C$24,Supuestos!$C$22,IF(A65&gt;=Supuestos!$C$8,$V$7,Supuestos!$C$22+($V$7-Supuestos!$C$22)*(A65-Supuestos!$C$24)/(Supuestos!$C$8-Supuestos!$C$24))))</f>
        <v>94.15</v>
      </c>
      <c r="C65" s="31" t="n">
        <f aca="false">B65*Supuestos!$C$6</f>
        <v>564.9</v>
      </c>
      <c r="D65" s="32" t="n">
        <f aca="false">C65*Supuestos!$C$42</f>
        <v>2447.9</v>
      </c>
      <c r="E65" s="32" t="n">
        <f aca="false">IF(A65=0,0,MAX(Supuestos!$C$23,ROUNDUP(C65/Supuestos!$C$18,0)))</f>
        <v>19</v>
      </c>
      <c r="F65" s="31" t="n">
        <f aca="false">MAX(0,E65-IF(A64=0,Supuestos!$C$23,E64))+Supuestos!$C$19*E65</f>
        <v>0.57</v>
      </c>
      <c r="G65" s="32" t="n">
        <f aca="false">IF(A65=0,0,MAX(1,ROUNDUP(B65/Supuestos!$C$21,0)))</f>
        <v>2</v>
      </c>
      <c r="H65" s="33" t="n">
        <f aca="false">D65*(Supuestos!$C$14+Supuestos!$C$7)</f>
        <v>195832</v>
      </c>
      <c r="I65" s="33" t="n">
        <f aca="false">D65*Supuestos!$C$43</f>
        <v>182368.55</v>
      </c>
      <c r="J65" s="33" t="n">
        <f aca="false">IF(A65=0,0,Supuestos!$C$44+G65*Supuestos!$C$26)</f>
        <v>97300</v>
      </c>
      <c r="K65" s="21" t="n">
        <f aca="false">F65*Supuestos!$C$20</f>
        <v>1995</v>
      </c>
      <c r="L65" s="33" t="n">
        <f aca="false">IF(A65=0,Supuestos!$C$45,0)</f>
        <v>0</v>
      </c>
      <c r="M65" s="21" t="n">
        <f aca="false">IF(A65=0,-L65,H65-I65-J65-K65)</f>
        <v>-85831.55</v>
      </c>
      <c r="N65" s="21" t="n">
        <f aca="false">N64+M65</f>
        <v>-4992258.97499999</v>
      </c>
      <c r="O65" s="34" t="n">
        <f aca="false">1/(1+Supuestos!$C$46)^A65</f>
        <v>0.625872636884529</v>
      </c>
      <c r="P65" s="21" t="n">
        <f aca="false">M65*O65</f>
        <v>-53719.6185263863</v>
      </c>
      <c r="Q65" s="21" t="n">
        <f aca="false">Q64+P65</f>
        <v>-3978658.74010562</v>
      </c>
      <c r="R65" s="35" t="n">
        <f aca="false">IF(AND(A65&gt;0,N65&gt;=0),1,0)</f>
        <v>0</v>
      </c>
      <c r="S65" s="35" t="n">
        <f aca="false">IF(AND(A65&gt;0,Q65&gt;=0),1,0)</f>
        <v>0</v>
      </c>
    </row>
    <row r="66" customFormat="false" ht="15" hidden="false" customHeight="false" outlineLevel="0" collapsed="false">
      <c r="A66" s="24" t="n">
        <v>60</v>
      </c>
      <c r="B66" s="25" t="n">
        <f aca="false">IF(A66=0,0,IF(A66&lt;=Supuestos!$C$24,Supuestos!$C$22,IF(A66&gt;=Supuestos!$C$8,$V$7,Supuestos!$C$22+($V$7-Supuestos!$C$22)*(A66-Supuestos!$C$24)/(Supuestos!$C$8-Supuestos!$C$24))))</f>
        <v>94.15</v>
      </c>
      <c r="C66" s="25" t="n">
        <f aca="false">B66*Supuestos!$C$6</f>
        <v>564.9</v>
      </c>
      <c r="D66" s="26" t="n">
        <f aca="false">C66*Supuestos!$C$42</f>
        <v>2447.9</v>
      </c>
      <c r="E66" s="26" t="n">
        <f aca="false">IF(A66=0,0,MAX(Supuestos!$C$23,ROUNDUP(C66/Supuestos!$C$18,0)))</f>
        <v>19</v>
      </c>
      <c r="F66" s="25" t="n">
        <f aca="false">MAX(0,E66-IF(A65=0,Supuestos!$C$23,E65))+Supuestos!$C$19*E66</f>
        <v>0.57</v>
      </c>
      <c r="G66" s="26" t="n">
        <f aca="false">IF(A66=0,0,MAX(1,ROUNDUP(B66/Supuestos!$C$21,0)))</f>
        <v>2</v>
      </c>
      <c r="H66" s="27" t="n">
        <f aca="false">D66*(Supuestos!$C$14+Supuestos!$C$7)</f>
        <v>195832</v>
      </c>
      <c r="I66" s="27" t="n">
        <f aca="false">D66*Supuestos!$C$43</f>
        <v>182368.55</v>
      </c>
      <c r="J66" s="27" t="n">
        <f aca="false">IF(A66=0,0,Supuestos!$C$44+G66*Supuestos!$C$26)</f>
        <v>97300</v>
      </c>
      <c r="K66" s="28" t="n">
        <f aca="false">F66*Supuestos!$C$20</f>
        <v>1995</v>
      </c>
      <c r="L66" s="27" t="n">
        <f aca="false">IF(A66=0,Supuestos!$C$45,0)</f>
        <v>0</v>
      </c>
      <c r="M66" s="28" t="n">
        <f aca="false">IF(A66=0,-L66,H66-I66-J66-K66)</f>
        <v>-85831.55</v>
      </c>
      <c r="N66" s="28" t="n">
        <f aca="false">N65+M66</f>
        <v>-5078090.52499999</v>
      </c>
      <c r="O66" s="29" t="n">
        <f aca="false">1/(1+Supuestos!$C$46)^A66</f>
        <v>0.620921323059154</v>
      </c>
      <c r="P66" s="28" t="n">
        <f aca="false">M66*O66</f>
        <v>-53294.639586218</v>
      </c>
      <c r="Q66" s="28" t="n">
        <f aca="false">Q65+P66</f>
        <v>-4031953.37969184</v>
      </c>
      <c r="R66" s="30" t="n">
        <f aca="false">IF(AND(A66&gt;0,N66&gt;=0),1,0)</f>
        <v>0</v>
      </c>
      <c r="S66" s="30" t="n">
        <f aca="false">IF(AND(A66&gt;0,Q66&gt;=0),1,0)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19" min="2" style="0" width="13"/>
    <col collapsed="false" customWidth="true" hidden="false" outlineLevel="0" max="20" min="20" style="0" width="3"/>
    <col collapsed="false" customWidth="true" hidden="false" outlineLevel="0" max="21" min="21" style="0" width="42"/>
    <col collapsed="false" customWidth="true" hidden="false" outlineLevel="0" max="22" min="22" style="0" width="16"/>
  </cols>
  <sheetData>
    <row r="1" customFormat="false" ht="16.15" hidden="false" customHeight="false" outlineLevel="0" collapsed="false">
      <c r="A1" s="1" t="s">
        <v>144</v>
      </c>
    </row>
    <row r="2" customFormat="false" ht="15" hidden="false" customHeight="false" outlineLevel="0" collapsed="false">
      <c r="A2" s="7" t="s">
        <v>98</v>
      </c>
    </row>
    <row r="3" customFormat="false" ht="15" hidden="false" customHeight="false" outlineLevel="0" collapsed="false">
      <c r="U3" s="8" t="s">
        <v>99</v>
      </c>
      <c r="V3" s="8" t="s">
        <v>42</v>
      </c>
    </row>
    <row r="4" customFormat="false" ht="15" hidden="false" customHeight="false" outlineLevel="0" collapsed="false">
      <c r="U4" s="2" t="s">
        <v>100</v>
      </c>
      <c r="V4" s="2" t="s">
        <v>23</v>
      </c>
    </row>
    <row r="5" customFormat="false" ht="46.25" hidden="false" customHeight="false" outlineLevel="0" collapsed="false">
      <c r="A5" s="8" t="s">
        <v>101</v>
      </c>
      <c r="B5" s="8" t="s">
        <v>102</v>
      </c>
      <c r="C5" s="8" t="s">
        <v>103</v>
      </c>
      <c r="D5" s="8" t="s">
        <v>104</v>
      </c>
      <c r="E5" s="8" t="s">
        <v>105</v>
      </c>
      <c r="F5" s="8" t="s">
        <v>106</v>
      </c>
      <c r="G5" s="8" t="s">
        <v>107</v>
      </c>
      <c r="H5" s="8" t="s">
        <v>108</v>
      </c>
      <c r="I5" s="8" t="s">
        <v>109</v>
      </c>
      <c r="J5" s="8" t="s">
        <v>110</v>
      </c>
      <c r="K5" s="8" t="s">
        <v>111</v>
      </c>
      <c r="L5" s="8" t="s">
        <v>112</v>
      </c>
      <c r="M5" s="8" t="s">
        <v>113</v>
      </c>
      <c r="N5" s="8" t="s">
        <v>114</v>
      </c>
      <c r="O5" s="8" t="s">
        <v>115</v>
      </c>
      <c r="P5" s="8" t="s">
        <v>116</v>
      </c>
      <c r="Q5" s="8" t="s">
        <v>117</v>
      </c>
      <c r="R5" s="8" t="s">
        <v>118</v>
      </c>
      <c r="S5" s="8" t="s">
        <v>119</v>
      </c>
      <c r="U5" s="2" t="s">
        <v>120</v>
      </c>
      <c r="V5" s="20" t="n">
        <f aca="false">Supuestos!$C$14+Supuestos!$D$7</f>
        <v>100</v>
      </c>
    </row>
    <row r="6" customFormat="false" ht="15" hidden="false" customHeight="false" outlineLevel="0" collapsed="false">
      <c r="A6" s="24" t="n">
        <v>0</v>
      </c>
      <c r="B6" s="25" t="n">
        <f aca="false">IF(A6=0,0,IF(A6&lt;=Supuestos!$C$24,Supuestos!$C$22,IF(A6&gt;=Supuestos!$D$8,$V$7,Supuestos!$C$22+($V$7-Supuestos!$C$22)*(A6-Supuestos!$C$24)/(Supuestos!$D$8-Supuestos!$C$24))))</f>
        <v>0</v>
      </c>
      <c r="C6" s="25" t="n">
        <f aca="false">B6*Supuestos!$D$6</f>
        <v>0</v>
      </c>
      <c r="D6" s="26" t="n">
        <f aca="false">C6*Supuestos!$C$42</f>
        <v>0</v>
      </c>
      <c r="E6" s="26" t="n">
        <f aca="false">IF(A6=0,0,MAX(Supuestos!$C$23,ROUNDUP(C6/Supuestos!$C$18,0)))</f>
        <v>0</v>
      </c>
      <c r="F6" s="25" t="n">
        <v>0</v>
      </c>
      <c r="G6" s="26" t="n">
        <f aca="false">IF(A6=0,0,MAX(1,ROUNDUP(B6/Supuestos!$C$21,0)))</f>
        <v>0</v>
      </c>
      <c r="H6" s="27" t="n">
        <f aca="false">D6*(Supuestos!$C$14+Supuestos!$D$7)</f>
        <v>0</v>
      </c>
      <c r="I6" s="27" t="n">
        <f aca="false">D6*Supuestos!$C$43</f>
        <v>0</v>
      </c>
      <c r="J6" s="27" t="n">
        <f aca="false">IF(A6=0,0,Supuestos!$C$44+G6*Supuestos!$C$26)</f>
        <v>0</v>
      </c>
      <c r="K6" s="28" t="n">
        <f aca="false">F6*Supuestos!$C$20</f>
        <v>0</v>
      </c>
      <c r="L6" s="27" t="n">
        <f aca="false">IF(A6=0,Supuestos!$C$45,0)</f>
        <v>226000</v>
      </c>
      <c r="M6" s="28" t="n">
        <f aca="false">IF(A6=0,-L6,H6-I6-J6-K6)</f>
        <v>-226000</v>
      </c>
      <c r="N6" s="28" t="n">
        <f aca="false">M6</f>
        <v>-226000</v>
      </c>
      <c r="O6" s="29" t="n">
        <f aca="false">1/(1+Supuestos!$C$46)^A6</f>
        <v>1</v>
      </c>
      <c r="P6" s="28" t="n">
        <f aca="false">M6*O6</f>
        <v>-226000</v>
      </c>
      <c r="Q6" s="28" t="n">
        <f aca="false">P6</f>
        <v>-226000</v>
      </c>
      <c r="R6" s="30" t="n">
        <f aca="false">IF(AND(A6&gt;0,N6&gt;=0),1,0)</f>
        <v>0</v>
      </c>
      <c r="S6" s="30" t="n">
        <f aca="false">IF(AND(A6&gt;0,Q6&gt;=0),1,0)</f>
        <v>0</v>
      </c>
      <c r="U6" s="2" t="s">
        <v>121</v>
      </c>
      <c r="V6" s="20" t="n">
        <f aca="false">V5-Supuestos!$C$43</f>
        <v>25.5</v>
      </c>
    </row>
    <row r="7" customFormat="false" ht="15" hidden="false" customHeight="false" outlineLevel="0" collapsed="false">
      <c r="A7" s="4" t="n">
        <v>1</v>
      </c>
      <c r="B7" s="31" t="n">
        <f aca="false">IF(A7=0,0,IF(A7&lt;=Supuestos!$C$24,Supuestos!$C$22,IF(A7&gt;=Supuestos!$D$8,$V$7,Supuestos!$C$22+($V$7-Supuestos!$C$22)*(A7-Supuestos!$C$24)/(Supuestos!$D$8-Supuestos!$C$24))))</f>
        <v>15</v>
      </c>
      <c r="C7" s="31" t="n">
        <f aca="false">B7*Supuestos!$D$6</f>
        <v>120</v>
      </c>
      <c r="D7" s="32" t="n">
        <f aca="false">C7*Supuestos!$C$42</f>
        <v>520</v>
      </c>
      <c r="E7" s="32" t="n">
        <f aca="false">IF(A7=0,0,MAX(Supuestos!$C$23,ROUNDUP(C7/Supuestos!$C$18,0)))</f>
        <v>6</v>
      </c>
      <c r="F7" s="31" t="n">
        <f aca="false">MAX(0,E7-IF(A6=0,Supuestos!$C$23,E6))+Supuestos!$C$19*E7</f>
        <v>0.18</v>
      </c>
      <c r="G7" s="32" t="n">
        <f aca="false">IF(A7=0,0,MAX(1,ROUNDUP(B7/Supuestos!$C$21,0)))</f>
        <v>1</v>
      </c>
      <c r="H7" s="33" t="n">
        <f aca="false">D7*(Supuestos!$C$14+Supuestos!$D$7)</f>
        <v>52000</v>
      </c>
      <c r="I7" s="33" t="n">
        <f aca="false">D7*Supuestos!$C$43</f>
        <v>38740</v>
      </c>
      <c r="J7" s="33" t="n">
        <f aca="false">IF(A7=0,0,Supuestos!$C$44+G7*Supuestos!$C$26)</f>
        <v>73000</v>
      </c>
      <c r="K7" s="21" t="n">
        <f aca="false">F7*Supuestos!$C$20</f>
        <v>630</v>
      </c>
      <c r="L7" s="33" t="n">
        <f aca="false">IF(A7=0,Supuestos!$C$45,0)</f>
        <v>0</v>
      </c>
      <c r="M7" s="21" t="n">
        <f aca="false">IF(A7=0,-L7,H7-I7-J7-K7)</f>
        <v>-60370</v>
      </c>
      <c r="N7" s="21" t="n">
        <f aca="false">N6+M7</f>
        <v>-286370</v>
      </c>
      <c r="O7" s="34" t="n">
        <f aca="false">1/(1+Supuestos!$C$46)^A7</f>
        <v>0.992088943446991</v>
      </c>
      <c r="P7" s="21" t="n">
        <f aca="false">M7*O7</f>
        <v>-59892.4095158948</v>
      </c>
      <c r="Q7" s="21" t="n">
        <f aca="false">Q6+P7</f>
        <v>-285892.409515895</v>
      </c>
      <c r="R7" s="35" t="n">
        <f aca="false">IF(AND(A7&gt;0,N7&gt;=0),1,0)</f>
        <v>0</v>
      </c>
      <c r="S7" s="35" t="n">
        <f aca="false">IF(AND(A7&gt;0,Q7&gt;=0),1,0)</f>
        <v>0</v>
      </c>
      <c r="U7" s="2" t="s">
        <v>122</v>
      </c>
      <c r="V7" s="31" t="n">
        <f aca="false">MAX(Supuestos!$C$13*Supuestos!$D$5,Supuestos!$C$22)</f>
        <v>188.3</v>
      </c>
    </row>
    <row r="8" customFormat="false" ht="15" hidden="false" customHeight="false" outlineLevel="0" collapsed="false">
      <c r="A8" s="24" t="n">
        <v>2</v>
      </c>
      <c r="B8" s="25" t="n">
        <f aca="false">IF(A8=0,0,IF(A8&lt;=Supuestos!$C$24,Supuestos!$C$22,IF(A8&gt;=Supuestos!$D$8,$V$7,Supuestos!$C$22+($V$7-Supuestos!$C$22)*(A8-Supuestos!$C$24)/(Supuestos!$D$8-Supuestos!$C$24))))</f>
        <v>15</v>
      </c>
      <c r="C8" s="25" t="n">
        <f aca="false">B8*Supuestos!$D$6</f>
        <v>120</v>
      </c>
      <c r="D8" s="26" t="n">
        <f aca="false">C8*Supuestos!$C$42</f>
        <v>520</v>
      </c>
      <c r="E8" s="26" t="n">
        <f aca="false">IF(A8=0,0,MAX(Supuestos!$C$23,ROUNDUP(C8/Supuestos!$C$18,0)))</f>
        <v>6</v>
      </c>
      <c r="F8" s="25" t="n">
        <f aca="false">MAX(0,E8-IF(A7=0,Supuestos!$C$23,E7))+Supuestos!$C$19*E8</f>
        <v>0.18</v>
      </c>
      <c r="G8" s="26" t="n">
        <f aca="false">IF(A8=0,0,MAX(1,ROUNDUP(B8/Supuestos!$C$21,0)))</f>
        <v>1</v>
      </c>
      <c r="H8" s="27" t="n">
        <f aca="false">D8*(Supuestos!$C$14+Supuestos!$D$7)</f>
        <v>52000</v>
      </c>
      <c r="I8" s="27" t="n">
        <f aca="false">D8*Supuestos!$C$43</f>
        <v>38740</v>
      </c>
      <c r="J8" s="27" t="n">
        <f aca="false">IF(A8=0,0,Supuestos!$C$44+G8*Supuestos!$C$26)</f>
        <v>73000</v>
      </c>
      <c r="K8" s="28" t="n">
        <f aca="false">F8*Supuestos!$C$20</f>
        <v>630</v>
      </c>
      <c r="L8" s="27" t="n">
        <f aca="false">IF(A8=0,Supuestos!$C$45,0)</f>
        <v>0</v>
      </c>
      <c r="M8" s="28" t="n">
        <f aca="false">IF(A8=0,-L8,H8-I8-J8-K8)</f>
        <v>-60370</v>
      </c>
      <c r="N8" s="28" t="n">
        <f aca="false">N7+M8</f>
        <v>-346740</v>
      </c>
      <c r="O8" s="29" t="n">
        <f aca="false">1/(1+Supuestos!$C$46)^A8</f>
        <v>0.984240471709767</v>
      </c>
      <c r="P8" s="28" t="n">
        <f aca="false">M8*O8</f>
        <v>-59418.5972771186</v>
      </c>
      <c r="Q8" s="28" t="n">
        <f aca="false">Q7+P8</f>
        <v>-345311.006793013</v>
      </c>
      <c r="R8" s="30" t="n">
        <f aca="false">IF(AND(A8&gt;0,N8&gt;=0),1,0)</f>
        <v>0</v>
      </c>
      <c r="S8" s="30" t="n">
        <f aca="false">IF(AND(A8&gt;0,Q8&gt;=0),1,0)</f>
        <v>0</v>
      </c>
      <c r="U8" s="3" t="s">
        <v>123</v>
      </c>
      <c r="V8" s="21" t="n">
        <f aca="false">SUM(P6:P66)</f>
        <v>487908.000264275</v>
      </c>
    </row>
    <row r="9" customFormat="false" ht="15" hidden="false" customHeight="false" outlineLevel="0" collapsed="false">
      <c r="A9" s="4" t="n">
        <v>3</v>
      </c>
      <c r="B9" s="31" t="n">
        <f aca="false">IF(A9=0,0,IF(A9&lt;=Supuestos!$C$24,Supuestos!$C$22,IF(A9&gt;=Supuestos!$D$8,$V$7,Supuestos!$C$22+($V$7-Supuestos!$C$22)*(A9-Supuestos!$C$24)/(Supuestos!$D$8-Supuestos!$C$24))))</f>
        <v>15</v>
      </c>
      <c r="C9" s="31" t="n">
        <f aca="false">B9*Supuestos!$D$6</f>
        <v>120</v>
      </c>
      <c r="D9" s="32" t="n">
        <f aca="false">C9*Supuestos!$C$42</f>
        <v>520</v>
      </c>
      <c r="E9" s="32" t="n">
        <f aca="false">IF(A9=0,0,MAX(Supuestos!$C$23,ROUNDUP(C9/Supuestos!$C$18,0)))</f>
        <v>6</v>
      </c>
      <c r="F9" s="31" t="n">
        <f aca="false">MAX(0,E9-IF(A8=0,Supuestos!$C$23,E8))+Supuestos!$C$19*E9</f>
        <v>0.18</v>
      </c>
      <c r="G9" s="32" t="n">
        <f aca="false">IF(A9=0,0,MAX(1,ROUNDUP(B9/Supuestos!$C$21,0)))</f>
        <v>1</v>
      </c>
      <c r="H9" s="33" t="n">
        <f aca="false">D9*(Supuestos!$C$14+Supuestos!$D$7)</f>
        <v>52000</v>
      </c>
      <c r="I9" s="33" t="n">
        <f aca="false">D9*Supuestos!$C$43</f>
        <v>38740</v>
      </c>
      <c r="J9" s="33" t="n">
        <f aca="false">IF(A9=0,0,Supuestos!$C$44+G9*Supuestos!$C$26)</f>
        <v>73000</v>
      </c>
      <c r="K9" s="21" t="n">
        <f aca="false">F9*Supuestos!$C$20</f>
        <v>630</v>
      </c>
      <c r="L9" s="33" t="n">
        <f aca="false">IF(A9=0,Supuestos!$C$45,0)</f>
        <v>0</v>
      </c>
      <c r="M9" s="21" t="n">
        <f aca="false">IF(A9=0,-L9,H9-I9-J9-K9)</f>
        <v>-60370</v>
      </c>
      <c r="N9" s="21" t="n">
        <f aca="false">N8+M9</f>
        <v>-407110</v>
      </c>
      <c r="O9" s="34" t="n">
        <f aca="false">1/(1+Supuestos!$C$46)^A9</f>
        <v>0.976454089676311</v>
      </c>
      <c r="P9" s="21" t="n">
        <f aca="false">M9*O9</f>
        <v>-58948.5333937589</v>
      </c>
      <c r="Q9" s="21" t="n">
        <f aca="false">Q8+P9</f>
        <v>-404259.540186772</v>
      </c>
      <c r="R9" s="35" t="n">
        <f aca="false">IF(AND(A9&gt;0,N9&gt;=0),1,0)</f>
        <v>0</v>
      </c>
      <c r="S9" s="35" t="n">
        <f aca="false">IF(AND(A9&gt;0,Q9&gt;=0),1,0)</f>
        <v>0</v>
      </c>
      <c r="U9" s="2" t="s">
        <v>124</v>
      </c>
      <c r="V9" s="36" t="n">
        <f aca="false">IFERROR(IRR(M6:M66,0.02),"No existe")</f>
        <v>0.0230983524681227</v>
      </c>
    </row>
    <row r="10" customFormat="false" ht="15" hidden="false" customHeight="false" outlineLevel="0" collapsed="false">
      <c r="A10" s="24" t="n">
        <v>4</v>
      </c>
      <c r="B10" s="25" t="n">
        <f aca="false">IF(A10=0,0,IF(A10&lt;=Supuestos!$C$24,Supuestos!$C$22,IF(A10&gt;=Supuestos!$D$8,$V$7,Supuestos!$C$22+($V$7-Supuestos!$C$22)*(A10-Supuestos!$C$24)/(Supuestos!$D$8-Supuestos!$C$24))))</f>
        <v>15</v>
      </c>
      <c r="C10" s="25" t="n">
        <f aca="false">B10*Supuestos!$D$6</f>
        <v>120</v>
      </c>
      <c r="D10" s="26" t="n">
        <f aca="false">C10*Supuestos!$C$42</f>
        <v>520</v>
      </c>
      <c r="E10" s="26" t="n">
        <f aca="false">IF(A10=0,0,MAX(Supuestos!$C$23,ROUNDUP(C10/Supuestos!$C$18,0)))</f>
        <v>6</v>
      </c>
      <c r="F10" s="25" t="n">
        <f aca="false">MAX(0,E10-IF(A9=0,Supuestos!$C$23,E9))+Supuestos!$C$19*E10</f>
        <v>0.18</v>
      </c>
      <c r="G10" s="26" t="n">
        <f aca="false">IF(A10=0,0,MAX(1,ROUNDUP(B10/Supuestos!$C$21,0)))</f>
        <v>1</v>
      </c>
      <c r="H10" s="27" t="n">
        <f aca="false">D10*(Supuestos!$C$14+Supuestos!$D$7)</f>
        <v>52000</v>
      </c>
      <c r="I10" s="27" t="n">
        <f aca="false">D10*Supuestos!$C$43</f>
        <v>38740</v>
      </c>
      <c r="J10" s="27" t="n">
        <f aca="false">IF(A10=0,0,Supuestos!$C$44+G10*Supuestos!$C$26)</f>
        <v>73000</v>
      </c>
      <c r="K10" s="28" t="n">
        <f aca="false">F10*Supuestos!$C$20</f>
        <v>630</v>
      </c>
      <c r="L10" s="27" t="n">
        <f aca="false">IF(A10=0,Supuestos!$C$45,0)</f>
        <v>0</v>
      </c>
      <c r="M10" s="28" t="n">
        <f aca="false">IF(A10=0,-L10,H10-I10-J10-K10)</f>
        <v>-60370</v>
      </c>
      <c r="N10" s="28" t="n">
        <f aca="false">N9+M10</f>
        <v>-467480</v>
      </c>
      <c r="O10" s="29" t="n">
        <f aca="false">1/(1+Supuestos!$C$46)^A10</f>
        <v>0.968729306151464</v>
      </c>
      <c r="P10" s="28" t="n">
        <f aca="false">M10*O10</f>
        <v>-58482.1882123639</v>
      </c>
      <c r="Q10" s="28" t="n">
        <f aca="false">Q9+P10</f>
        <v>-462741.728399136</v>
      </c>
      <c r="R10" s="30" t="n">
        <f aca="false">IF(AND(A10&gt;0,N10&gt;=0),1,0)</f>
        <v>0</v>
      </c>
      <c r="S10" s="30" t="n">
        <f aca="false">IF(AND(A10&gt;0,Q10&gt;=0),1,0)</f>
        <v>0</v>
      </c>
      <c r="U10" s="3" t="s">
        <v>125</v>
      </c>
      <c r="V10" s="13" t="n">
        <f aca="false">IFERROR((1+V9)^12-1,"No existe")</f>
        <v>0.315250948546251</v>
      </c>
    </row>
    <row r="11" customFormat="false" ht="15" hidden="false" customHeight="false" outlineLevel="0" collapsed="false">
      <c r="A11" s="4" t="n">
        <v>5</v>
      </c>
      <c r="B11" s="31" t="n">
        <f aca="false">IF(A11=0,0,IF(A11&lt;=Supuestos!$C$24,Supuestos!$C$22,IF(A11&gt;=Supuestos!$D$8,$V$7,Supuestos!$C$22+($V$7-Supuestos!$C$22)*(A11-Supuestos!$C$24)/(Supuestos!$D$8-Supuestos!$C$24))))</f>
        <v>15</v>
      </c>
      <c r="C11" s="31" t="n">
        <f aca="false">B11*Supuestos!$D$6</f>
        <v>120</v>
      </c>
      <c r="D11" s="32" t="n">
        <f aca="false">C11*Supuestos!$C$42</f>
        <v>520</v>
      </c>
      <c r="E11" s="32" t="n">
        <f aca="false">IF(A11=0,0,MAX(Supuestos!$C$23,ROUNDUP(C11/Supuestos!$C$18,0)))</f>
        <v>6</v>
      </c>
      <c r="F11" s="31" t="n">
        <f aca="false">MAX(0,E11-IF(A10=0,Supuestos!$C$23,E10))+Supuestos!$C$19*E11</f>
        <v>0.18</v>
      </c>
      <c r="G11" s="32" t="n">
        <f aca="false">IF(A11=0,0,MAX(1,ROUNDUP(B11/Supuestos!$C$21,0)))</f>
        <v>1</v>
      </c>
      <c r="H11" s="33" t="n">
        <f aca="false">D11*(Supuestos!$C$14+Supuestos!$D$7)</f>
        <v>52000</v>
      </c>
      <c r="I11" s="33" t="n">
        <f aca="false">D11*Supuestos!$C$43</f>
        <v>38740</v>
      </c>
      <c r="J11" s="33" t="n">
        <f aca="false">IF(A11=0,0,Supuestos!$C$44+G11*Supuestos!$C$26)</f>
        <v>73000</v>
      </c>
      <c r="K11" s="21" t="n">
        <f aca="false">F11*Supuestos!$C$20</f>
        <v>630</v>
      </c>
      <c r="L11" s="33" t="n">
        <f aca="false">IF(A11=0,Supuestos!$C$45,0)</f>
        <v>0</v>
      </c>
      <c r="M11" s="21" t="n">
        <f aca="false">IF(A11=0,-L11,H11-I11-J11-K11)</f>
        <v>-60370</v>
      </c>
      <c r="N11" s="21" t="n">
        <f aca="false">N10+M11</f>
        <v>-527850</v>
      </c>
      <c r="O11" s="34" t="n">
        <f aca="false">1/(1+Supuestos!$C$46)^A11</f>
        <v>0.961065633825943</v>
      </c>
      <c r="P11" s="21" t="n">
        <f aca="false">M11*O11</f>
        <v>-58019.5323140722</v>
      </c>
      <c r="Q11" s="21" t="n">
        <f aca="false">Q10+P11</f>
        <v>-520761.260713208</v>
      </c>
      <c r="R11" s="35" t="n">
        <f aca="false">IF(AND(A11&gt;0,N11&gt;=0),1,0)</f>
        <v>0</v>
      </c>
      <c r="S11" s="35" t="n">
        <f aca="false">IF(AND(A11&gt;0,Q11&gt;=0),1,0)</f>
        <v>0</v>
      </c>
      <c r="U11" s="3" t="s">
        <v>126</v>
      </c>
      <c r="V11" s="32" t="n">
        <f aca="false">IFERROR(INDEX(A6:A66,MATCH(1,R6:R66,0)),"No se recupera")</f>
        <v>37</v>
      </c>
    </row>
    <row r="12" customFormat="false" ht="15" hidden="false" customHeight="false" outlineLevel="0" collapsed="false">
      <c r="A12" s="24" t="n">
        <v>6</v>
      </c>
      <c r="B12" s="25" t="n">
        <f aca="false">IF(A12=0,0,IF(A12&lt;=Supuestos!$C$24,Supuestos!$C$22,IF(A12&gt;=Supuestos!$D$8,$V$7,Supuestos!$C$22+($V$7-Supuestos!$C$22)*(A12-Supuestos!$C$24)/(Supuestos!$D$8-Supuestos!$C$24))))</f>
        <v>15</v>
      </c>
      <c r="C12" s="25" t="n">
        <f aca="false">B12*Supuestos!$D$6</f>
        <v>120</v>
      </c>
      <c r="D12" s="26" t="n">
        <f aca="false">C12*Supuestos!$C$42</f>
        <v>520</v>
      </c>
      <c r="E12" s="26" t="n">
        <f aca="false">IF(A12=0,0,MAX(Supuestos!$C$23,ROUNDUP(C12/Supuestos!$C$18,0)))</f>
        <v>6</v>
      </c>
      <c r="F12" s="25" t="n">
        <f aca="false">MAX(0,E12-IF(A11=0,Supuestos!$C$23,E11))+Supuestos!$C$19*E12</f>
        <v>0.18</v>
      </c>
      <c r="G12" s="26" t="n">
        <f aca="false">IF(A12=0,0,MAX(1,ROUNDUP(B12/Supuestos!$C$21,0)))</f>
        <v>1</v>
      </c>
      <c r="H12" s="27" t="n">
        <f aca="false">D12*(Supuestos!$C$14+Supuestos!$D$7)</f>
        <v>52000</v>
      </c>
      <c r="I12" s="27" t="n">
        <f aca="false">D12*Supuestos!$C$43</f>
        <v>38740</v>
      </c>
      <c r="J12" s="27" t="n">
        <f aca="false">IF(A12=0,0,Supuestos!$C$44+G12*Supuestos!$C$26)</f>
        <v>73000</v>
      </c>
      <c r="K12" s="28" t="n">
        <f aca="false">F12*Supuestos!$C$20</f>
        <v>630</v>
      </c>
      <c r="L12" s="27" t="n">
        <f aca="false">IF(A12=0,Supuestos!$C$45,0)</f>
        <v>0</v>
      </c>
      <c r="M12" s="28" t="n">
        <f aca="false">IF(A12=0,-L12,H12-I12-J12-K12)</f>
        <v>-60370</v>
      </c>
      <c r="N12" s="28" t="n">
        <f aca="false">N11+M12</f>
        <v>-588220</v>
      </c>
      <c r="O12" s="29" t="n">
        <f aca="false">1/(1+Supuestos!$C$46)^A12</f>
        <v>0.953462589245592</v>
      </c>
      <c r="P12" s="28" t="n">
        <f aca="false">M12*O12</f>
        <v>-57560.5365127564</v>
      </c>
      <c r="Q12" s="28" t="n">
        <f aca="false">Q11+P12</f>
        <v>-578321.797225965</v>
      </c>
      <c r="R12" s="30" t="n">
        <f aca="false">IF(AND(A12&gt;0,N12&gt;=0),1,0)</f>
        <v>0</v>
      </c>
      <c r="S12" s="30" t="n">
        <f aca="false">IF(AND(A12&gt;0,Q12&gt;=0),1,0)</f>
        <v>0</v>
      </c>
      <c r="U12" s="2" t="s">
        <v>127</v>
      </c>
      <c r="V12" s="32" t="n">
        <f aca="false">IFERROR(INDEX(A6:A66,MATCH(1,S6:S66,0)),"No se recupera")</f>
        <v>42</v>
      </c>
    </row>
    <row r="13" customFormat="false" ht="15" hidden="false" customHeight="false" outlineLevel="0" collapsed="false">
      <c r="A13" s="4" t="n">
        <v>7</v>
      </c>
      <c r="B13" s="31" t="n">
        <f aca="false">IF(A13=0,0,IF(A13&lt;=Supuestos!$C$24,Supuestos!$C$22,IF(A13&gt;=Supuestos!$D$8,$V$7,Supuestos!$C$22+($V$7-Supuestos!$C$22)*(A13-Supuestos!$C$24)/(Supuestos!$D$8-Supuestos!$C$24))))</f>
        <v>29.4416666666667</v>
      </c>
      <c r="C13" s="31" t="n">
        <f aca="false">B13*Supuestos!$D$6</f>
        <v>235.533333333333</v>
      </c>
      <c r="D13" s="32" t="n">
        <f aca="false">C13*Supuestos!$C$42</f>
        <v>1020.64444444444</v>
      </c>
      <c r="E13" s="32" t="n">
        <f aca="false">IF(A13=0,0,MAX(Supuestos!$C$23,ROUNDUP(C13/Supuestos!$C$18,0)))</f>
        <v>8</v>
      </c>
      <c r="F13" s="31" t="n">
        <f aca="false">MAX(0,E13-IF(A12=0,Supuestos!$C$23,E12))+Supuestos!$C$19*E13</f>
        <v>2.24</v>
      </c>
      <c r="G13" s="32" t="n">
        <f aca="false">IF(A13=0,0,MAX(1,ROUNDUP(B13/Supuestos!$C$21,0)))</f>
        <v>1</v>
      </c>
      <c r="H13" s="33" t="n">
        <f aca="false">D13*(Supuestos!$C$14+Supuestos!$D$7)</f>
        <v>102064.444444444</v>
      </c>
      <c r="I13" s="33" t="n">
        <f aca="false">D13*Supuestos!$C$43</f>
        <v>76038.0111111111</v>
      </c>
      <c r="J13" s="33" t="n">
        <f aca="false">IF(A13=0,0,Supuestos!$C$44+G13*Supuestos!$C$26)</f>
        <v>73000</v>
      </c>
      <c r="K13" s="21" t="n">
        <f aca="false">F13*Supuestos!$C$20</f>
        <v>7840</v>
      </c>
      <c r="L13" s="33" t="n">
        <f aca="false">IF(A13=0,Supuestos!$C$45,0)</f>
        <v>0</v>
      </c>
      <c r="M13" s="21" t="n">
        <f aca="false">IF(A13=0,-L13,H13-I13-J13-K13)</f>
        <v>-54813.5666666667</v>
      </c>
      <c r="N13" s="21" t="n">
        <f aca="false">N12+M13</f>
        <v>-643033.566666667</v>
      </c>
      <c r="O13" s="34" t="n">
        <f aca="false">1/(1+Supuestos!$C$46)^A13</f>
        <v>0.945919692780892</v>
      </c>
      <c r="P13" s="21" t="n">
        <f aca="false">M13*O13</f>
        <v>-51849.2321415583</v>
      </c>
      <c r="Q13" s="21" t="n">
        <f aca="false">Q12+P13</f>
        <v>-630171.029367523</v>
      </c>
      <c r="R13" s="35" t="n">
        <f aca="false">IF(AND(A13&gt;0,N13&gt;=0),1,0)</f>
        <v>0</v>
      </c>
      <c r="S13" s="35" t="n">
        <f aca="false">IF(AND(A13&gt;0,Q13&gt;=0),1,0)</f>
        <v>0</v>
      </c>
      <c r="U13" s="2" t="s">
        <v>128</v>
      </c>
      <c r="V13" s="21" t="n">
        <f aca="false">J66</f>
        <v>121600</v>
      </c>
    </row>
    <row r="14" customFormat="false" ht="15" hidden="false" customHeight="false" outlineLevel="0" collapsed="false">
      <c r="A14" s="24" t="n">
        <v>8</v>
      </c>
      <c r="B14" s="25" t="n">
        <f aca="false">IF(A14=0,0,IF(A14&lt;=Supuestos!$C$24,Supuestos!$C$22,IF(A14&gt;=Supuestos!$D$8,$V$7,Supuestos!$C$22+($V$7-Supuestos!$C$22)*(A14-Supuestos!$C$24)/(Supuestos!$D$8-Supuestos!$C$24))))</f>
        <v>43.8833333333333</v>
      </c>
      <c r="C14" s="25" t="n">
        <f aca="false">B14*Supuestos!$D$6</f>
        <v>351.066666666667</v>
      </c>
      <c r="D14" s="26" t="n">
        <f aca="false">C14*Supuestos!$C$42</f>
        <v>1521.28888888889</v>
      </c>
      <c r="E14" s="26" t="n">
        <f aca="false">IF(A14=0,0,MAX(Supuestos!$C$23,ROUNDUP(C14/Supuestos!$C$18,0)))</f>
        <v>12</v>
      </c>
      <c r="F14" s="25" t="n">
        <f aca="false">MAX(0,E14-IF(A13=0,Supuestos!$C$23,E13))+Supuestos!$C$19*E14</f>
        <v>4.36</v>
      </c>
      <c r="G14" s="26" t="n">
        <f aca="false">IF(A14=0,0,MAX(1,ROUNDUP(B14/Supuestos!$C$21,0)))</f>
        <v>1</v>
      </c>
      <c r="H14" s="27" t="n">
        <f aca="false">D14*(Supuestos!$C$14+Supuestos!$D$7)</f>
        <v>152128.888888889</v>
      </c>
      <c r="I14" s="27" t="n">
        <f aca="false">D14*Supuestos!$C$43</f>
        <v>113336.022222222</v>
      </c>
      <c r="J14" s="27" t="n">
        <f aca="false">IF(A14=0,0,Supuestos!$C$44+G14*Supuestos!$C$26)</f>
        <v>73000</v>
      </c>
      <c r="K14" s="28" t="n">
        <f aca="false">F14*Supuestos!$C$20</f>
        <v>15260</v>
      </c>
      <c r="L14" s="27" t="n">
        <f aca="false">IF(A14=0,Supuestos!$C$45,0)</f>
        <v>0</v>
      </c>
      <c r="M14" s="28" t="n">
        <f aca="false">IF(A14=0,-L14,H14-I14-J14-K14)</f>
        <v>-49467.1333333333</v>
      </c>
      <c r="N14" s="28" t="n">
        <f aca="false">N13+M14</f>
        <v>-692500.7</v>
      </c>
      <c r="O14" s="29" t="n">
        <f aca="false">1/(1+Supuestos!$C$46)^A14</f>
        <v>0.938436468596697</v>
      </c>
      <c r="P14" s="28" t="n">
        <f aca="false">M14*O14</f>
        <v>-46421.7619169353</v>
      </c>
      <c r="Q14" s="28" t="n">
        <f aca="false">Q13+P14</f>
        <v>-676592.791284458</v>
      </c>
      <c r="R14" s="30" t="n">
        <f aca="false">IF(AND(A14&gt;0,N14&gt;=0),1,0)</f>
        <v>0</v>
      </c>
      <c r="S14" s="30" t="n">
        <f aca="false">IF(AND(A14&gt;0,Q14&gt;=0),1,0)</f>
        <v>0</v>
      </c>
      <c r="U14" s="3" t="s">
        <v>129</v>
      </c>
      <c r="V14" s="32" t="n">
        <f aca="false">IF(V6&gt;0,V13/V6,"No existe")</f>
        <v>4768.62745098039</v>
      </c>
    </row>
    <row r="15" customFormat="false" ht="15" hidden="false" customHeight="false" outlineLevel="0" collapsed="false">
      <c r="A15" s="4" t="n">
        <v>9</v>
      </c>
      <c r="B15" s="31" t="n">
        <f aca="false">IF(A15=0,0,IF(A15&lt;=Supuestos!$C$24,Supuestos!$C$22,IF(A15&gt;=Supuestos!$D$8,$V$7,Supuestos!$C$22+($V$7-Supuestos!$C$22)*(A15-Supuestos!$C$24)/(Supuestos!$D$8-Supuestos!$C$24))))</f>
        <v>58.325</v>
      </c>
      <c r="C15" s="31" t="n">
        <f aca="false">B15*Supuestos!$D$6</f>
        <v>466.6</v>
      </c>
      <c r="D15" s="32" t="n">
        <f aca="false">C15*Supuestos!$C$42</f>
        <v>2021.93333333333</v>
      </c>
      <c r="E15" s="32" t="n">
        <f aca="false">IF(A15=0,0,MAX(Supuestos!$C$23,ROUNDUP(C15/Supuestos!$C$18,0)))</f>
        <v>16</v>
      </c>
      <c r="F15" s="31" t="n">
        <f aca="false">MAX(0,E15-IF(A14=0,Supuestos!$C$23,E14))+Supuestos!$C$19*E15</f>
        <v>4.48</v>
      </c>
      <c r="G15" s="32" t="n">
        <f aca="false">IF(A15=0,0,MAX(1,ROUNDUP(B15/Supuestos!$C$21,0)))</f>
        <v>1</v>
      </c>
      <c r="H15" s="33" t="n">
        <f aca="false">D15*(Supuestos!$C$14+Supuestos!$D$7)</f>
        <v>202193.333333333</v>
      </c>
      <c r="I15" s="33" t="n">
        <f aca="false">D15*Supuestos!$C$43</f>
        <v>150634.033333333</v>
      </c>
      <c r="J15" s="33" t="n">
        <f aca="false">IF(A15=0,0,Supuestos!$C$44+G15*Supuestos!$C$26)</f>
        <v>73000</v>
      </c>
      <c r="K15" s="21" t="n">
        <f aca="false">F15*Supuestos!$C$20</f>
        <v>15680</v>
      </c>
      <c r="L15" s="33" t="n">
        <f aca="false">IF(A15=0,Supuestos!$C$45,0)</f>
        <v>0</v>
      </c>
      <c r="M15" s="21" t="n">
        <f aca="false">IF(A15=0,-L15,H15-I15-J15-K15)</f>
        <v>-37120.7</v>
      </c>
      <c r="N15" s="21" t="n">
        <f aca="false">N14+M15</f>
        <v>-729621.4</v>
      </c>
      <c r="O15" s="34" t="n">
        <f aca="false">1/(1+Supuestos!$C$46)^A15</f>
        <v>0.931012444622223</v>
      </c>
      <c r="P15" s="21" t="n">
        <f aca="false">M15*O15</f>
        <v>-34559.8336530881</v>
      </c>
      <c r="Q15" s="21" t="n">
        <f aca="false">Q14+P15</f>
        <v>-711152.624937546</v>
      </c>
      <c r="R15" s="35" t="n">
        <f aca="false">IF(AND(A15&gt;0,N15&gt;=0),1,0)</f>
        <v>0</v>
      </c>
      <c r="S15" s="35" t="n">
        <f aca="false">IF(AND(A15&gt;0,Q15&gt;=0),1,0)</f>
        <v>0</v>
      </c>
      <c r="U15" s="2" t="s">
        <v>130</v>
      </c>
      <c r="V15" s="31" t="n">
        <f aca="false">IF(V6&gt;0,V14/Supuestos!$C$42/Supuestos!$D$6,"No existe")</f>
        <v>137.556561085973</v>
      </c>
    </row>
    <row r="16" customFormat="false" ht="15" hidden="false" customHeight="false" outlineLevel="0" collapsed="false">
      <c r="A16" s="24" t="n">
        <v>10</v>
      </c>
      <c r="B16" s="25" t="n">
        <f aca="false">IF(A16=0,0,IF(A16&lt;=Supuestos!$C$24,Supuestos!$C$22,IF(A16&gt;=Supuestos!$D$8,$V$7,Supuestos!$C$22+($V$7-Supuestos!$C$22)*(A16-Supuestos!$C$24)/(Supuestos!$D$8-Supuestos!$C$24))))</f>
        <v>72.7666666666667</v>
      </c>
      <c r="C16" s="25" t="n">
        <f aca="false">B16*Supuestos!$D$6</f>
        <v>582.133333333333</v>
      </c>
      <c r="D16" s="26" t="n">
        <f aca="false">C16*Supuestos!$C$42</f>
        <v>2522.57777777778</v>
      </c>
      <c r="E16" s="26" t="n">
        <f aca="false">IF(A16=0,0,MAX(Supuestos!$C$23,ROUNDUP(C16/Supuestos!$C$18,0)))</f>
        <v>20</v>
      </c>
      <c r="F16" s="25" t="n">
        <f aca="false">MAX(0,E16-IF(A15=0,Supuestos!$C$23,E15))+Supuestos!$C$19*E16</f>
        <v>4.6</v>
      </c>
      <c r="G16" s="26" t="n">
        <f aca="false">IF(A16=0,0,MAX(1,ROUNDUP(B16/Supuestos!$C$21,0)))</f>
        <v>1</v>
      </c>
      <c r="H16" s="27" t="n">
        <f aca="false">D16*(Supuestos!$C$14+Supuestos!$D$7)</f>
        <v>252257.777777778</v>
      </c>
      <c r="I16" s="27" t="n">
        <f aca="false">D16*Supuestos!$C$43</f>
        <v>187932.044444444</v>
      </c>
      <c r="J16" s="27" t="n">
        <f aca="false">IF(A16=0,0,Supuestos!$C$44+G16*Supuestos!$C$26)</f>
        <v>73000</v>
      </c>
      <c r="K16" s="28" t="n">
        <f aca="false">F16*Supuestos!$C$20</f>
        <v>16100</v>
      </c>
      <c r="L16" s="27" t="n">
        <f aca="false">IF(A16=0,Supuestos!$C$45,0)</f>
        <v>0</v>
      </c>
      <c r="M16" s="28" t="n">
        <f aca="false">IF(A16=0,-L16,H16-I16-J16-K16)</f>
        <v>-24774.2666666667</v>
      </c>
      <c r="N16" s="28" t="n">
        <f aca="false">N15+M16</f>
        <v>-754395.666666667</v>
      </c>
      <c r="O16" s="29" t="n">
        <f aca="false">1/(1+Supuestos!$C$46)^A16</f>
        <v>0.923647152521261</v>
      </c>
      <c r="P16" s="28" t="n">
        <f aca="false">M16*O16</f>
        <v>-22882.6808624691</v>
      </c>
      <c r="Q16" s="28" t="n">
        <f aca="false">Q15+P16</f>
        <v>-734035.305800016</v>
      </c>
      <c r="R16" s="30" t="n">
        <f aca="false">IF(AND(A16&gt;0,N16&gt;=0),1,0)</f>
        <v>0</v>
      </c>
      <c r="S16" s="30" t="n">
        <f aca="false">IF(AND(A16&gt;0,Q16&gt;=0),1,0)</f>
        <v>0</v>
      </c>
      <c r="U16" s="2" t="s">
        <v>131</v>
      </c>
      <c r="V16" s="21" t="n">
        <f aca="false">N66</f>
        <v>912104.2</v>
      </c>
    </row>
    <row r="17" customFormat="false" ht="15" hidden="false" customHeight="false" outlineLevel="0" collapsed="false">
      <c r="A17" s="4" t="n">
        <v>11</v>
      </c>
      <c r="B17" s="31" t="n">
        <f aca="false">IF(A17=0,0,IF(A17&lt;=Supuestos!$C$24,Supuestos!$C$22,IF(A17&gt;=Supuestos!$D$8,$V$7,Supuestos!$C$22+($V$7-Supuestos!$C$22)*(A17-Supuestos!$C$24)/(Supuestos!$D$8-Supuestos!$C$24))))</f>
        <v>87.2083333333333</v>
      </c>
      <c r="C17" s="31" t="n">
        <f aca="false">B17*Supuestos!$D$6</f>
        <v>697.666666666667</v>
      </c>
      <c r="D17" s="32" t="n">
        <f aca="false">C17*Supuestos!$C$42</f>
        <v>3023.22222222222</v>
      </c>
      <c r="E17" s="32" t="n">
        <f aca="false">IF(A17=0,0,MAX(Supuestos!$C$23,ROUNDUP(C17/Supuestos!$C$18,0)))</f>
        <v>24</v>
      </c>
      <c r="F17" s="31" t="n">
        <f aca="false">MAX(0,E17-IF(A16=0,Supuestos!$C$23,E16))+Supuestos!$C$19*E17</f>
        <v>4.72</v>
      </c>
      <c r="G17" s="32" t="n">
        <f aca="false">IF(A17=0,0,MAX(1,ROUNDUP(B17/Supuestos!$C$21,0)))</f>
        <v>2</v>
      </c>
      <c r="H17" s="33" t="n">
        <f aca="false">D17*(Supuestos!$C$14+Supuestos!$D$7)</f>
        <v>302322.222222222</v>
      </c>
      <c r="I17" s="33" t="n">
        <f aca="false">D17*Supuestos!$C$43</f>
        <v>225230.055555556</v>
      </c>
      <c r="J17" s="33" t="n">
        <f aca="false">IF(A17=0,0,Supuestos!$C$44+G17*Supuestos!$C$26)</f>
        <v>97300</v>
      </c>
      <c r="K17" s="21" t="n">
        <f aca="false">F17*Supuestos!$C$20</f>
        <v>16520</v>
      </c>
      <c r="L17" s="33" t="n">
        <f aca="false">IF(A17=0,Supuestos!$C$45,0)</f>
        <v>0</v>
      </c>
      <c r="M17" s="21" t="n">
        <f aca="false">IF(A17=0,-L17,H17-I17-J17-K17)</f>
        <v>-36727.8333333333</v>
      </c>
      <c r="N17" s="21" t="n">
        <f aca="false">N16+M17</f>
        <v>-791123.5</v>
      </c>
      <c r="O17" s="34" t="n">
        <f aca="false">1/(1+Supuestos!$C$46)^A17</f>
        <v>0.916340127662639</v>
      </c>
      <c r="P17" s="21" t="n">
        <f aca="false">M17*O17</f>
        <v>-33655.1874854388</v>
      </c>
      <c r="Q17" s="21" t="n">
        <f aca="false">Q16+P17</f>
        <v>-767690.493285454</v>
      </c>
      <c r="R17" s="35" t="n">
        <f aca="false">IF(AND(A17&gt;0,N17&gt;=0),1,0)</f>
        <v>0</v>
      </c>
      <c r="S17" s="35" t="n">
        <f aca="false">IF(AND(A17&gt;0,Q17&gt;=0),1,0)</f>
        <v>0</v>
      </c>
      <c r="U17" s="2" t="s">
        <v>132</v>
      </c>
      <c r="V17" s="21" t="n">
        <f aca="false">L6</f>
        <v>226000</v>
      </c>
    </row>
    <row r="18" customFormat="false" ht="15" hidden="false" customHeight="false" outlineLevel="0" collapsed="false">
      <c r="A18" s="24" t="n">
        <v>12</v>
      </c>
      <c r="B18" s="25" t="n">
        <f aca="false">IF(A18=0,0,IF(A18&lt;=Supuestos!$C$24,Supuestos!$C$22,IF(A18&gt;=Supuestos!$D$8,$V$7,Supuestos!$C$22+($V$7-Supuestos!$C$22)*(A18-Supuestos!$C$24)/(Supuestos!$D$8-Supuestos!$C$24))))</f>
        <v>101.65</v>
      </c>
      <c r="C18" s="25" t="n">
        <f aca="false">B18*Supuestos!$D$6</f>
        <v>813.2</v>
      </c>
      <c r="D18" s="26" t="n">
        <f aca="false">C18*Supuestos!$C$42</f>
        <v>3523.86666666667</v>
      </c>
      <c r="E18" s="26" t="n">
        <f aca="false">IF(A18=0,0,MAX(Supuestos!$C$23,ROUNDUP(C18/Supuestos!$C$18,0)))</f>
        <v>28</v>
      </c>
      <c r="F18" s="25" t="n">
        <f aca="false">MAX(0,E18-IF(A17=0,Supuestos!$C$23,E17))+Supuestos!$C$19*E18</f>
        <v>4.84</v>
      </c>
      <c r="G18" s="26" t="n">
        <f aca="false">IF(A18=0,0,MAX(1,ROUNDUP(B18/Supuestos!$C$21,0)))</f>
        <v>2</v>
      </c>
      <c r="H18" s="27" t="n">
        <f aca="false">D18*(Supuestos!$C$14+Supuestos!$D$7)</f>
        <v>352386.666666667</v>
      </c>
      <c r="I18" s="27" t="n">
        <f aca="false">D18*Supuestos!$C$43</f>
        <v>262528.066666667</v>
      </c>
      <c r="J18" s="27" t="n">
        <f aca="false">IF(A18=0,0,Supuestos!$C$44+G18*Supuestos!$C$26)</f>
        <v>97300</v>
      </c>
      <c r="K18" s="28" t="n">
        <f aca="false">F18*Supuestos!$C$20</f>
        <v>16940</v>
      </c>
      <c r="L18" s="27" t="n">
        <f aca="false">IF(A18=0,Supuestos!$C$45,0)</f>
        <v>0</v>
      </c>
      <c r="M18" s="28" t="n">
        <f aca="false">IF(A18=0,-L18,H18-I18-J18-K18)</f>
        <v>-24381.4</v>
      </c>
      <c r="N18" s="28" t="n">
        <f aca="false">N17+M18</f>
        <v>-815504.9</v>
      </c>
      <c r="O18" s="29" t="n">
        <f aca="false">1/(1+Supuestos!$C$46)^A18</f>
        <v>0.909090909090909</v>
      </c>
      <c r="P18" s="28" t="n">
        <f aca="false">M18*O18</f>
        <v>-22164.9090909091</v>
      </c>
      <c r="Q18" s="28" t="n">
        <f aca="false">Q17+P18</f>
        <v>-789855.402376363</v>
      </c>
      <c r="R18" s="30" t="n">
        <f aca="false">IF(AND(A18&gt;0,N18&gt;=0),1,0)</f>
        <v>0</v>
      </c>
      <c r="S18" s="30" t="n">
        <f aca="false">IF(AND(A18&gt;0,Q18&gt;=0),1,0)</f>
        <v>0</v>
      </c>
      <c r="U18" s="2" t="s">
        <v>133</v>
      </c>
      <c r="V18" s="21" t="n">
        <f aca="false">3*(J7+I7)</f>
        <v>335220</v>
      </c>
    </row>
    <row r="19" customFormat="false" ht="15" hidden="false" customHeight="false" outlineLevel="0" collapsed="false">
      <c r="A19" s="4" t="n">
        <v>13</v>
      </c>
      <c r="B19" s="31" t="n">
        <f aca="false">IF(A19=0,0,IF(A19&lt;=Supuestos!$C$24,Supuestos!$C$22,IF(A19&gt;=Supuestos!$D$8,$V$7,Supuestos!$C$22+($V$7-Supuestos!$C$22)*(A19-Supuestos!$C$24)/(Supuestos!$D$8-Supuestos!$C$24))))</f>
        <v>116.091666666667</v>
      </c>
      <c r="C19" s="31" t="n">
        <f aca="false">B19*Supuestos!$D$6</f>
        <v>928.733333333334</v>
      </c>
      <c r="D19" s="32" t="n">
        <f aca="false">C19*Supuestos!$C$42</f>
        <v>4024.51111111111</v>
      </c>
      <c r="E19" s="32" t="n">
        <f aca="false">IF(A19=0,0,MAX(Supuestos!$C$23,ROUNDUP(C19/Supuestos!$C$18,0)))</f>
        <v>31</v>
      </c>
      <c r="F19" s="31" t="n">
        <f aca="false">MAX(0,E19-IF(A18=0,Supuestos!$C$23,E18))+Supuestos!$C$19*E19</f>
        <v>3.93</v>
      </c>
      <c r="G19" s="32" t="n">
        <f aca="false">IF(A19=0,0,MAX(1,ROUNDUP(B19/Supuestos!$C$21,0)))</f>
        <v>2</v>
      </c>
      <c r="H19" s="33" t="n">
        <f aca="false">D19*(Supuestos!$C$14+Supuestos!$D$7)</f>
        <v>402451.111111111</v>
      </c>
      <c r="I19" s="33" t="n">
        <f aca="false">D19*Supuestos!$C$43</f>
        <v>299826.077777778</v>
      </c>
      <c r="J19" s="33" t="n">
        <f aca="false">IF(A19=0,0,Supuestos!$C$44+G19*Supuestos!$C$26)</f>
        <v>97300</v>
      </c>
      <c r="K19" s="21" t="n">
        <f aca="false">F19*Supuestos!$C$20</f>
        <v>13755</v>
      </c>
      <c r="L19" s="33" t="n">
        <f aca="false">IF(A19=0,Supuestos!$C$45,0)</f>
        <v>0</v>
      </c>
      <c r="M19" s="21" t="n">
        <f aca="false">IF(A19=0,-L19,H19-I19-J19-K19)</f>
        <v>-8429.96666666667</v>
      </c>
      <c r="N19" s="21" t="n">
        <f aca="false">N18+M19</f>
        <v>-823934.866666666</v>
      </c>
      <c r="O19" s="34" t="n">
        <f aca="false">1/(1+Supuestos!$C$46)^A19</f>
        <v>0.901899039497264</v>
      </c>
      <c r="P19" s="21" t="n">
        <f aca="false">M19*O19</f>
        <v>-7602.97883966063</v>
      </c>
      <c r="Q19" s="21" t="n">
        <f aca="false">Q18+P19</f>
        <v>-797458.381216024</v>
      </c>
      <c r="R19" s="35" t="n">
        <f aca="false">IF(AND(A19&gt;0,N19&gt;=0),1,0)</f>
        <v>0</v>
      </c>
      <c r="S19" s="35" t="n">
        <f aca="false">IF(AND(A19&gt;0,Q19&gt;=0),1,0)</f>
        <v>0</v>
      </c>
      <c r="U19" s="2" t="s">
        <v>78</v>
      </c>
      <c r="V19" s="21" t="n">
        <f aca="false">Supuestos!$C$36*(V17+V18)</f>
        <v>56122</v>
      </c>
    </row>
    <row r="20" customFormat="false" ht="15" hidden="false" customHeight="false" outlineLevel="0" collapsed="false">
      <c r="A20" s="24" t="n">
        <v>14</v>
      </c>
      <c r="B20" s="25" t="n">
        <f aca="false">IF(A20=0,0,IF(A20&lt;=Supuestos!$C$24,Supuestos!$C$22,IF(A20&gt;=Supuestos!$D$8,$V$7,Supuestos!$C$22+($V$7-Supuestos!$C$22)*(A20-Supuestos!$C$24)/(Supuestos!$D$8-Supuestos!$C$24))))</f>
        <v>130.533333333333</v>
      </c>
      <c r="C20" s="25" t="n">
        <f aca="false">B20*Supuestos!$D$6</f>
        <v>1044.26666666667</v>
      </c>
      <c r="D20" s="26" t="n">
        <f aca="false">C20*Supuestos!$C$42</f>
        <v>4525.15555555556</v>
      </c>
      <c r="E20" s="26" t="n">
        <f aca="false">IF(A20=0,0,MAX(Supuestos!$C$23,ROUNDUP(C20/Supuestos!$C$18,0)))</f>
        <v>35</v>
      </c>
      <c r="F20" s="25" t="n">
        <f aca="false">MAX(0,E20-IF(A19=0,Supuestos!$C$23,E19))+Supuestos!$C$19*E20</f>
        <v>5.05</v>
      </c>
      <c r="G20" s="26" t="n">
        <f aca="false">IF(A20=0,0,MAX(1,ROUNDUP(B20/Supuestos!$C$21,0)))</f>
        <v>2</v>
      </c>
      <c r="H20" s="27" t="n">
        <f aca="false">D20*(Supuestos!$C$14+Supuestos!$D$7)</f>
        <v>452515.555555556</v>
      </c>
      <c r="I20" s="27" t="n">
        <f aca="false">D20*Supuestos!$C$43</f>
        <v>337124.088888889</v>
      </c>
      <c r="J20" s="27" t="n">
        <f aca="false">IF(A20=0,0,Supuestos!$C$44+G20*Supuestos!$C$26)</f>
        <v>97300</v>
      </c>
      <c r="K20" s="28" t="n">
        <f aca="false">F20*Supuestos!$C$20</f>
        <v>17675</v>
      </c>
      <c r="L20" s="27" t="n">
        <f aca="false">IF(A20=0,Supuestos!$C$45,0)</f>
        <v>0</v>
      </c>
      <c r="M20" s="28" t="n">
        <f aca="false">IF(A20=0,-L20,H20-I20-J20-K20)</f>
        <v>416.466666666674</v>
      </c>
      <c r="N20" s="28" t="n">
        <f aca="false">N19+M20</f>
        <v>-823518.4</v>
      </c>
      <c r="O20" s="29" t="n">
        <f aca="false">1/(1+Supuestos!$C$46)^A20</f>
        <v>0.894764065190697</v>
      </c>
      <c r="P20" s="28" t="n">
        <f aca="false">M20*O20</f>
        <v>372.639407683093</v>
      </c>
      <c r="Q20" s="28" t="n">
        <f aca="false">Q19+P20</f>
        <v>-797085.741808341</v>
      </c>
      <c r="R20" s="30" t="n">
        <f aca="false">IF(AND(A20&gt;0,N20&gt;=0),1,0)</f>
        <v>0</v>
      </c>
      <c r="S20" s="30" t="n">
        <f aca="false">IF(AND(A20&gt;0,Q20&gt;=0),1,0)</f>
        <v>0</v>
      </c>
      <c r="U20" s="3" t="s">
        <v>134</v>
      </c>
      <c r="V20" s="21" t="n">
        <f aca="false">V17+V18+V19</f>
        <v>617342</v>
      </c>
    </row>
    <row r="21" customFormat="false" ht="15" hidden="false" customHeight="false" outlineLevel="0" collapsed="false">
      <c r="A21" s="4" t="n">
        <v>15</v>
      </c>
      <c r="B21" s="31" t="n">
        <f aca="false">IF(A21=0,0,IF(A21&lt;=Supuestos!$C$24,Supuestos!$C$22,IF(A21&gt;=Supuestos!$D$8,$V$7,Supuestos!$C$22+($V$7-Supuestos!$C$22)*(A21-Supuestos!$C$24)/(Supuestos!$D$8-Supuestos!$C$24))))</f>
        <v>144.975</v>
      </c>
      <c r="C21" s="31" t="n">
        <f aca="false">B21*Supuestos!$D$6</f>
        <v>1159.8</v>
      </c>
      <c r="D21" s="32" t="n">
        <f aca="false">C21*Supuestos!$C$42</f>
        <v>5025.8</v>
      </c>
      <c r="E21" s="32" t="n">
        <f aca="false">IF(A21=0,0,MAX(Supuestos!$C$23,ROUNDUP(C21/Supuestos!$C$18,0)))</f>
        <v>39</v>
      </c>
      <c r="F21" s="31" t="n">
        <f aca="false">MAX(0,E21-IF(A20=0,Supuestos!$C$23,E20))+Supuestos!$C$19*E21</f>
        <v>5.17</v>
      </c>
      <c r="G21" s="32" t="n">
        <f aca="false">IF(A21=0,0,MAX(1,ROUNDUP(B21/Supuestos!$C$21,0)))</f>
        <v>2</v>
      </c>
      <c r="H21" s="33" t="n">
        <f aca="false">D21*(Supuestos!$C$14+Supuestos!$D$7)</f>
        <v>502580</v>
      </c>
      <c r="I21" s="33" t="n">
        <f aca="false">D21*Supuestos!$C$43</f>
        <v>374422.1</v>
      </c>
      <c r="J21" s="33" t="n">
        <f aca="false">IF(A21=0,0,Supuestos!$C$44+G21*Supuestos!$C$26)</f>
        <v>97300</v>
      </c>
      <c r="K21" s="21" t="n">
        <f aca="false">F21*Supuestos!$C$20</f>
        <v>18095</v>
      </c>
      <c r="L21" s="33" t="n">
        <f aca="false">IF(A21=0,Supuestos!$C$45,0)</f>
        <v>0</v>
      </c>
      <c r="M21" s="21" t="n">
        <f aca="false">IF(A21=0,-L21,H21-I21-J21-K21)</f>
        <v>12762.9</v>
      </c>
      <c r="N21" s="21" t="n">
        <f aca="false">N20+M21</f>
        <v>-810755.5</v>
      </c>
      <c r="O21" s="34" t="n">
        <f aca="false">1/(1+Supuestos!$C$46)^A21</f>
        <v>0.887685536069373</v>
      </c>
      <c r="P21" s="21" t="n">
        <f aca="false">M21*O21</f>
        <v>11329.4417282998</v>
      </c>
      <c r="Q21" s="21" t="n">
        <f aca="false">Q20+P21</f>
        <v>-785756.300080041</v>
      </c>
      <c r="R21" s="35" t="n">
        <f aca="false">IF(AND(A21&gt;0,N21&gt;=0),1,0)</f>
        <v>0</v>
      </c>
      <c r="S21" s="35" t="n">
        <f aca="false">IF(AND(A21&gt;0,Q21&gt;=0),1,0)</f>
        <v>0</v>
      </c>
      <c r="U21" s="2" t="s">
        <v>135</v>
      </c>
      <c r="V21" s="21" t="n">
        <f aca="false">-MIN(0,MIN(N6:N66))</f>
        <v>823934.866666666</v>
      </c>
    </row>
    <row r="22" customFormat="false" ht="15" hidden="false" customHeight="false" outlineLevel="0" collapsed="false">
      <c r="A22" s="24" t="n">
        <v>16</v>
      </c>
      <c r="B22" s="25" t="n">
        <f aca="false">IF(A22=0,0,IF(A22&lt;=Supuestos!$C$24,Supuestos!$C$22,IF(A22&gt;=Supuestos!$D$8,$V$7,Supuestos!$C$22+($V$7-Supuestos!$C$22)*(A22-Supuestos!$C$24)/(Supuestos!$D$8-Supuestos!$C$24))))</f>
        <v>159.416666666667</v>
      </c>
      <c r="C22" s="25" t="n">
        <f aca="false">B22*Supuestos!$D$6</f>
        <v>1275.33333333333</v>
      </c>
      <c r="D22" s="26" t="n">
        <f aca="false">C22*Supuestos!$C$42</f>
        <v>5526.44444444444</v>
      </c>
      <c r="E22" s="26" t="n">
        <f aca="false">IF(A22=0,0,MAX(Supuestos!$C$23,ROUNDUP(C22/Supuestos!$C$18,0)))</f>
        <v>43</v>
      </c>
      <c r="F22" s="25" t="n">
        <f aca="false">MAX(0,E22-IF(A21=0,Supuestos!$C$23,E21))+Supuestos!$C$19*E22</f>
        <v>5.29</v>
      </c>
      <c r="G22" s="26" t="n">
        <f aca="false">IF(A22=0,0,MAX(1,ROUNDUP(B22/Supuestos!$C$21,0)))</f>
        <v>2</v>
      </c>
      <c r="H22" s="27" t="n">
        <f aca="false">D22*(Supuestos!$C$14+Supuestos!$D$7)</f>
        <v>552644.444444444</v>
      </c>
      <c r="I22" s="27" t="n">
        <f aca="false">D22*Supuestos!$C$43</f>
        <v>411720.111111111</v>
      </c>
      <c r="J22" s="27" t="n">
        <f aca="false">IF(A22=0,0,Supuestos!$C$44+G22*Supuestos!$C$26)</f>
        <v>97300</v>
      </c>
      <c r="K22" s="28" t="n">
        <f aca="false">F22*Supuestos!$C$20</f>
        <v>18515</v>
      </c>
      <c r="L22" s="27" t="n">
        <f aca="false">IF(A22=0,Supuestos!$C$45,0)</f>
        <v>0</v>
      </c>
      <c r="M22" s="28" t="n">
        <f aca="false">IF(A22=0,-L22,H22-I22-J22-K22)</f>
        <v>25109.3333333334</v>
      </c>
      <c r="N22" s="28" t="n">
        <f aca="false">N21+M22</f>
        <v>-785646.166666666</v>
      </c>
      <c r="O22" s="29" t="n">
        <f aca="false">1/(1+Supuestos!$C$46)^A22</f>
        <v>0.88066300559224</v>
      </c>
      <c r="P22" s="28" t="n">
        <f aca="false">M22*O22</f>
        <v>22112.8609617508</v>
      </c>
      <c r="Q22" s="28" t="n">
        <f aca="false">Q21+P22</f>
        <v>-763643.43911829</v>
      </c>
      <c r="R22" s="30" t="n">
        <f aca="false">IF(AND(A22&gt;0,N22&gt;=0),1,0)</f>
        <v>0</v>
      </c>
      <c r="S22" s="30" t="n">
        <f aca="false">IF(AND(A22&gt;0,Q22&gt;=0),1,0)</f>
        <v>0</v>
      </c>
      <c r="U22" s="2" t="s">
        <v>136</v>
      </c>
      <c r="V22" s="31" t="n">
        <f aca="false">B66</f>
        <v>188.3</v>
      </c>
    </row>
    <row r="23" customFormat="false" ht="15" hidden="false" customHeight="false" outlineLevel="0" collapsed="false">
      <c r="A23" s="4" t="n">
        <v>17</v>
      </c>
      <c r="B23" s="31" t="n">
        <f aca="false">IF(A23=0,0,IF(A23&lt;=Supuestos!$C$24,Supuestos!$C$22,IF(A23&gt;=Supuestos!$D$8,$V$7,Supuestos!$C$22+($V$7-Supuestos!$C$22)*(A23-Supuestos!$C$24)/(Supuestos!$D$8-Supuestos!$C$24))))</f>
        <v>173.858333333333</v>
      </c>
      <c r="C23" s="31" t="n">
        <f aca="false">B23*Supuestos!$D$6</f>
        <v>1390.86666666667</v>
      </c>
      <c r="D23" s="32" t="n">
        <f aca="false">C23*Supuestos!$C$42</f>
        <v>6027.08888888889</v>
      </c>
      <c r="E23" s="32" t="n">
        <f aca="false">IF(A23=0,0,MAX(Supuestos!$C$23,ROUNDUP(C23/Supuestos!$C$18,0)))</f>
        <v>47</v>
      </c>
      <c r="F23" s="31" t="n">
        <f aca="false">MAX(0,E23-IF(A22=0,Supuestos!$C$23,E22))+Supuestos!$C$19*E23</f>
        <v>5.41</v>
      </c>
      <c r="G23" s="32" t="n">
        <f aca="false">IF(A23=0,0,MAX(1,ROUNDUP(B23/Supuestos!$C$21,0)))</f>
        <v>3</v>
      </c>
      <c r="H23" s="33" t="n">
        <f aca="false">D23*(Supuestos!$C$14+Supuestos!$D$7)</f>
        <v>602708.888888889</v>
      </c>
      <c r="I23" s="33" t="n">
        <f aca="false">D23*Supuestos!$C$43</f>
        <v>449018.122222222</v>
      </c>
      <c r="J23" s="33" t="n">
        <f aca="false">IF(A23=0,0,Supuestos!$C$44+G23*Supuestos!$C$26)</f>
        <v>121600</v>
      </c>
      <c r="K23" s="21" t="n">
        <f aca="false">F23*Supuestos!$C$20</f>
        <v>18935</v>
      </c>
      <c r="L23" s="33" t="n">
        <f aca="false">IF(A23=0,Supuestos!$C$45,0)</f>
        <v>0</v>
      </c>
      <c r="M23" s="21" t="n">
        <f aca="false">IF(A23=0,-L23,H23-I23-J23-K23)</f>
        <v>13155.7666666667</v>
      </c>
      <c r="N23" s="21" t="n">
        <f aca="false">N22+M23</f>
        <v>-772490.4</v>
      </c>
      <c r="O23" s="34" t="n">
        <f aca="false">1/(1+Supuestos!$C$46)^A23</f>
        <v>0.873696030750857</v>
      </c>
      <c r="P23" s="21" t="n">
        <f aca="false">M23*O23</f>
        <v>11494.1411181511</v>
      </c>
      <c r="Q23" s="21" t="n">
        <f aca="false">Q22+P23</f>
        <v>-752149.298000139</v>
      </c>
      <c r="R23" s="35" t="n">
        <f aca="false">IF(AND(A23&gt;0,N23&gt;=0),1,0)</f>
        <v>0</v>
      </c>
      <c r="S23" s="35" t="n">
        <f aca="false">IF(AND(A23&gt;0,Q23&gt;=0),1,0)</f>
        <v>0</v>
      </c>
      <c r="U23" s="2" t="s">
        <v>137</v>
      </c>
      <c r="V23" s="32" t="n">
        <f aca="false">D66</f>
        <v>6527.73333333333</v>
      </c>
    </row>
    <row r="24" customFormat="false" ht="15" hidden="false" customHeight="false" outlineLevel="0" collapsed="false">
      <c r="A24" s="24" t="n">
        <v>18</v>
      </c>
      <c r="B24" s="25" t="n">
        <f aca="false">IF(A24=0,0,IF(A24&lt;=Supuestos!$C$24,Supuestos!$C$22,IF(A24&gt;=Supuestos!$D$8,$V$7,Supuestos!$C$22+($V$7-Supuestos!$C$22)*(A24-Supuestos!$C$24)/(Supuestos!$D$8-Supuestos!$C$24))))</f>
        <v>188.3</v>
      </c>
      <c r="C24" s="25" t="n">
        <f aca="false">B24*Supuestos!$D$6</f>
        <v>1506.4</v>
      </c>
      <c r="D24" s="26" t="n">
        <f aca="false">C24*Supuestos!$C$42</f>
        <v>6527.73333333333</v>
      </c>
      <c r="E24" s="26" t="n">
        <f aca="false">IF(A24=0,0,MAX(Supuestos!$C$23,ROUNDUP(C24/Supuestos!$C$18,0)))</f>
        <v>51</v>
      </c>
      <c r="F24" s="25" t="n">
        <f aca="false">MAX(0,E24-IF(A23=0,Supuestos!$C$23,E23))+Supuestos!$C$19*E24</f>
        <v>5.53</v>
      </c>
      <c r="G24" s="26" t="n">
        <f aca="false">IF(A24=0,0,MAX(1,ROUNDUP(B24/Supuestos!$C$21,0)))</f>
        <v>3</v>
      </c>
      <c r="H24" s="27" t="n">
        <f aca="false">D24*(Supuestos!$C$14+Supuestos!$D$7)</f>
        <v>652773.333333333</v>
      </c>
      <c r="I24" s="27" t="n">
        <f aca="false">D24*Supuestos!$C$43</f>
        <v>486316.133333333</v>
      </c>
      <c r="J24" s="27" t="n">
        <f aca="false">IF(A24=0,0,Supuestos!$C$44+G24*Supuestos!$C$26)</f>
        <v>121600</v>
      </c>
      <c r="K24" s="28" t="n">
        <f aca="false">F24*Supuestos!$C$20</f>
        <v>19355</v>
      </c>
      <c r="L24" s="27" t="n">
        <f aca="false">IF(A24=0,Supuestos!$C$45,0)</f>
        <v>0</v>
      </c>
      <c r="M24" s="28" t="n">
        <f aca="false">IF(A24=0,-L24,H24-I24-J24-K24)</f>
        <v>25502.2</v>
      </c>
      <c r="N24" s="28" t="n">
        <f aca="false">N23+M24</f>
        <v>-746988.2</v>
      </c>
      <c r="O24" s="29" t="n">
        <f aca="false">1/(1+Supuestos!$C$46)^A24</f>
        <v>0.866784172041447</v>
      </c>
      <c r="P24" s="28" t="n">
        <f aca="false">M24*O24</f>
        <v>22104.9033122354</v>
      </c>
      <c r="Q24" s="28" t="n">
        <f aca="false">Q23+P24</f>
        <v>-730044.394687904</v>
      </c>
      <c r="R24" s="30" t="n">
        <f aca="false">IF(AND(A24&gt;0,N24&gt;=0),1,0)</f>
        <v>0</v>
      </c>
      <c r="S24" s="30" t="n">
        <f aca="false">IF(AND(A24&gt;0,Q24&gt;=0),1,0)</f>
        <v>0</v>
      </c>
      <c r="U24" s="2" t="s">
        <v>138</v>
      </c>
      <c r="V24" s="32" t="n">
        <f aca="false">E66</f>
        <v>51</v>
      </c>
    </row>
    <row r="25" customFormat="false" ht="15" hidden="false" customHeight="false" outlineLevel="0" collapsed="false">
      <c r="A25" s="4" t="n">
        <v>19</v>
      </c>
      <c r="B25" s="31" t="n">
        <f aca="false">IF(A25=0,0,IF(A25&lt;=Supuestos!$C$24,Supuestos!$C$22,IF(A25&gt;=Supuestos!$D$8,$V$7,Supuestos!$C$22+($V$7-Supuestos!$C$22)*(A25-Supuestos!$C$24)/(Supuestos!$D$8-Supuestos!$C$24))))</f>
        <v>188.3</v>
      </c>
      <c r="C25" s="31" t="n">
        <f aca="false">B25*Supuestos!$D$6</f>
        <v>1506.4</v>
      </c>
      <c r="D25" s="32" t="n">
        <f aca="false">C25*Supuestos!$C$42</f>
        <v>6527.73333333333</v>
      </c>
      <c r="E25" s="32" t="n">
        <f aca="false">IF(A25=0,0,MAX(Supuestos!$C$23,ROUNDUP(C25/Supuestos!$C$18,0)))</f>
        <v>51</v>
      </c>
      <c r="F25" s="31" t="n">
        <f aca="false">MAX(0,E25-IF(A24=0,Supuestos!$C$23,E24))+Supuestos!$C$19*E25</f>
        <v>1.53</v>
      </c>
      <c r="G25" s="32" t="n">
        <f aca="false">IF(A25=0,0,MAX(1,ROUNDUP(B25/Supuestos!$C$21,0)))</f>
        <v>3</v>
      </c>
      <c r="H25" s="33" t="n">
        <f aca="false">D25*(Supuestos!$C$14+Supuestos!$D$7)</f>
        <v>652773.333333333</v>
      </c>
      <c r="I25" s="33" t="n">
        <f aca="false">D25*Supuestos!$C$43</f>
        <v>486316.133333333</v>
      </c>
      <c r="J25" s="33" t="n">
        <f aca="false">IF(A25=0,0,Supuestos!$C$44+G25*Supuestos!$C$26)</f>
        <v>121600</v>
      </c>
      <c r="K25" s="21" t="n">
        <f aca="false">F25*Supuestos!$C$20</f>
        <v>5355</v>
      </c>
      <c r="L25" s="33" t="n">
        <f aca="false">IF(A25=0,Supuestos!$C$45,0)</f>
        <v>0</v>
      </c>
      <c r="M25" s="21" t="n">
        <f aca="false">IF(A25=0,-L25,H25-I25-J25-K25)</f>
        <v>39502.2</v>
      </c>
      <c r="N25" s="21" t="n">
        <f aca="false">N24+M25</f>
        <v>-707486</v>
      </c>
      <c r="O25" s="34" t="n">
        <f aca="false">1/(1+Supuestos!$C$46)^A25</f>
        <v>0.859926993437174</v>
      </c>
      <c r="P25" s="21" t="n">
        <f aca="false">M25*O25</f>
        <v>33969.008080154</v>
      </c>
      <c r="Q25" s="21" t="n">
        <f aca="false">Q24+P25</f>
        <v>-696075.38660775</v>
      </c>
      <c r="R25" s="35" t="n">
        <f aca="false">IF(AND(A25&gt;0,N25&gt;=0),1,0)</f>
        <v>0</v>
      </c>
      <c r="S25" s="35" t="n">
        <f aca="false">IF(AND(A25&gt;0,Q25&gt;=0),1,0)</f>
        <v>0</v>
      </c>
      <c r="U25" s="2" t="s">
        <v>139</v>
      </c>
      <c r="V25" s="31" t="n">
        <f aca="false">INDEX(B6:B66,(Supuestos!$C$37+1))</f>
        <v>101.65</v>
      </c>
    </row>
    <row r="26" customFormat="false" ht="15" hidden="false" customHeight="false" outlineLevel="0" collapsed="false">
      <c r="A26" s="24" t="n">
        <v>20</v>
      </c>
      <c r="B26" s="25" t="n">
        <f aca="false">IF(A26=0,0,IF(A26&lt;=Supuestos!$C$24,Supuestos!$C$22,IF(A26&gt;=Supuestos!$D$8,$V$7,Supuestos!$C$22+($V$7-Supuestos!$C$22)*(A26-Supuestos!$C$24)/(Supuestos!$D$8-Supuestos!$C$24))))</f>
        <v>188.3</v>
      </c>
      <c r="C26" s="25" t="n">
        <f aca="false">B26*Supuestos!$D$6</f>
        <v>1506.4</v>
      </c>
      <c r="D26" s="26" t="n">
        <f aca="false">C26*Supuestos!$C$42</f>
        <v>6527.73333333333</v>
      </c>
      <c r="E26" s="26" t="n">
        <f aca="false">IF(A26=0,0,MAX(Supuestos!$C$23,ROUNDUP(C26/Supuestos!$C$18,0)))</f>
        <v>51</v>
      </c>
      <c r="F26" s="25" t="n">
        <f aca="false">MAX(0,E26-IF(A25=0,Supuestos!$C$23,E25))+Supuestos!$C$19*E26</f>
        <v>1.53</v>
      </c>
      <c r="G26" s="26" t="n">
        <f aca="false">IF(A26=0,0,MAX(1,ROUNDUP(B26/Supuestos!$C$21,0)))</f>
        <v>3</v>
      </c>
      <c r="H26" s="27" t="n">
        <f aca="false">D26*(Supuestos!$C$14+Supuestos!$D$7)</f>
        <v>652773.333333333</v>
      </c>
      <c r="I26" s="27" t="n">
        <f aca="false">D26*Supuestos!$C$43</f>
        <v>486316.133333333</v>
      </c>
      <c r="J26" s="27" t="n">
        <f aca="false">IF(A26=0,0,Supuestos!$C$44+G26*Supuestos!$C$26)</f>
        <v>121600</v>
      </c>
      <c r="K26" s="28" t="n">
        <f aca="false">F26*Supuestos!$C$20</f>
        <v>5355</v>
      </c>
      <c r="L26" s="27" t="n">
        <f aca="false">IF(A26=0,Supuestos!$C$45,0)</f>
        <v>0</v>
      </c>
      <c r="M26" s="28" t="n">
        <f aca="false">IF(A26=0,-L26,H26-I26-J26-K26)</f>
        <v>39502.2</v>
      </c>
      <c r="N26" s="28" t="n">
        <f aca="false">N25+M26</f>
        <v>-667983.8</v>
      </c>
      <c r="O26" s="29" t="n">
        <f aca="false">1/(1+Supuestos!$C$46)^A26</f>
        <v>0.853124062360634</v>
      </c>
      <c r="P26" s="28" t="n">
        <f aca="false">M26*O26</f>
        <v>33700.2773361822</v>
      </c>
      <c r="Q26" s="28" t="n">
        <f aca="false">Q25+P26</f>
        <v>-662375.109271568</v>
      </c>
      <c r="R26" s="30" t="n">
        <f aca="false">IF(AND(A26&gt;0,N26&gt;=0),1,0)</f>
        <v>0</v>
      </c>
      <c r="S26" s="30" t="n">
        <f aca="false">IF(AND(A26&gt;0,Q26&gt;=0),1,0)</f>
        <v>0</v>
      </c>
      <c r="U26" s="2" t="s">
        <v>140</v>
      </c>
      <c r="V26" s="2" t="str">
        <f aca="false">IF(ISNUMBER(V15),IF(V25&lt;Supuestos!$C$38*V15,"Sí","No"),"Sí")</f>
        <v>No</v>
      </c>
    </row>
    <row r="27" customFormat="false" ht="15" hidden="false" customHeight="false" outlineLevel="0" collapsed="false">
      <c r="A27" s="4" t="n">
        <v>21</v>
      </c>
      <c r="B27" s="31" t="n">
        <f aca="false">IF(A27=0,0,IF(A27&lt;=Supuestos!$C$24,Supuestos!$C$22,IF(A27&gt;=Supuestos!$D$8,$V$7,Supuestos!$C$22+($V$7-Supuestos!$C$22)*(A27-Supuestos!$C$24)/(Supuestos!$D$8-Supuestos!$C$24))))</f>
        <v>188.3</v>
      </c>
      <c r="C27" s="31" t="n">
        <f aca="false">B27*Supuestos!$D$6</f>
        <v>1506.4</v>
      </c>
      <c r="D27" s="32" t="n">
        <f aca="false">C27*Supuestos!$C$42</f>
        <v>6527.73333333333</v>
      </c>
      <c r="E27" s="32" t="n">
        <f aca="false">IF(A27=0,0,MAX(Supuestos!$C$23,ROUNDUP(C27/Supuestos!$C$18,0)))</f>
        <v>51</v>
      </c>
      <c r="F27" s="31" t="n">
        <f aca="false">MAX(0,E27-IF(A26=0,Supuestos!$C$23,E26))+Supuestos!$C$19*E27</f>
        <v>1.53</v>
      </c>
      <c r="G27" s="32" t="n">
        <f aca="false">IF(A27=0,0,MAX(1,ROUNDUP(B27/Supuestos!$C$21,0)))</f>
        <v>3</v>
      </c>
      <c r="H27" s="33" t="n">
        <f aca="false">D27*(Supuestos!$C$14+Supuestos!$D$7)</f>
        <v>652773.333333333</v>
      </c>
      <c r="I27" s="33" t="n">
        <f aca="false">D27*Supuestos!$C$43</f>
        <v>486316.133333333</v>
      </c>
      <c r="J27" s="33" t="n">
        <f aca="false">IF(A27=0,0,Supuestos!$C$44+G27*Supuestos!$C$26)</f>
        <v>121600</v>
      </c>
      <c r="K27" s="21" t="n">
        <f aca="false">F27*Supuestos!$C$20</f>
        <v>5355</v>
      </c>
      <c r="L27" s="33" t="n">
        <f aca="false">IF(A27=0,Supuestos!$C$45,0)</f>
        <v>0</v>
      </c>
      <c r="M27" s="21" t="n">
        <f aca="false">IF(A27=0,-L27,H27-I27-J27-K27)</f>
        <v>39502.2</v>
      </c>
      <c r="N27" s="21" t="n">
        <f aca="false">N26+M27</f>
        <v>-628481.6</v>
      </c>
      <c r="O27" s="34" t="n">
        <f aca="false">1/(1+Supuestos!$C$46)^A27</f>
        <v>0.846374949656566</v>
      </c>
      <c r="P27" s="21" t="n">
        <f aca="false">M27*O27</f>
        <v>33433.6725363236</v>
      </c>
      <c r="Q27" s="21" t="n">
        <f aca="false">Q26+P27</f>
        <v>-628941.436735244</v>
      </c>
      <c r="R27" s="35" t="n">
        <f aca="false">IF(AND(A27&gt;0,N27&gt;=0),1,0)</f>
        <v>0</v>
      </c>
      <c r="S27" s="35" t="n">
        <f aca="false">IF(AND(A27&gt;0,Q27&gt;=0),1,0)</f>
        <v>0</v>
      </c>
      <c r="U27" s="2" t="s">
        <v>141</v>
      </c>
      <c r="V27" s="21" t="n">
        <f aca="false">Supuestos!$C$39*INDEX(J6:J66,(Supuestos!$C$37+1))</f>
        <v>194600</v>
      </c>
    </row>
    <row r="28" customFormat="false" ht="15" hidden="false" customHeight="false" outlineLevel="0" collapsed="false">
      <c r="A28" s="24" t="n">
        <v>22</v>
      </c>
      <c r="B28" s="25" t="n">
        <f aca="false">IF(A28=0,0,IF(A28&lt;=Supuestos!$C$24,Supuestos!$C$22,IF(A28&gt;=Supuestos!$D$8,$V$7,Supuestos!$C$22+($V$7-Supuestos!$C$22)*(A28-Supuestos!$C$24)/(Supuestos!$D$8-Supuestos!$C$24))))</f>
        <v>188.3</v>
      </c>
      <c r="C28" s="25" t="n">
        <f aca="false">B28*Supuestos!$D$6</f>
        <v>1506.4</v>
      </c>
      <c r="D28" s="26" t="n">
        <f aca="false">C28*Supuestos!$C$42</f>
        <v>6527.73333333333</v>
      </c>
      <c r="E28" s="26" t="n">
        <f aca="false">IF(A28=0,0,MAX(Supuestos!$C$23,ROUNDUP(C28/Supuestos!$C$18,0)))</f>
        <v>51</v>
      </c>
      <c r="F28" s="25" t="n">
        <f aca="false">MAX(0,E28-IF(A27=0,Supuestos!$C$23,E27))+Supuestos!$C$19*E28</f>
        <v>1.53</v>
      </c>
      <c r="G28" s="26" t="n">
        <f aca="false">IF(A28=0,0,MAX(1,ROUNDUP(B28/Supuestos!$C$21,0)))</f>
        <v>3</v>
      </c>
      <c r="H28" s="27" t="n">
        <f aca="false">D28*(Supuestos!$C$14+Supuestos!$D$7)</f>
        <v>652773.333333333</v>
      </c>
      <c r="I28" s="27" t="n">
        <f aca="false">D28*Supuestos!$C$43</f>
        <v>486316.133333333</v>
      </c>
      <c r="J28" s="27" t="n">
        <f aca="false">IF(A28=0,0,Supuestos!$C$44+G28*Supuestos!$C$26)</f>
        <v>121600</v>
      </c>
      <c r="K28" s="28" t="n">
        <f aca="false">F28*Supuestos!$C$20</f>
        <v>5355</v>
      </c>
      <c r="L28" s="27" t="n">
        <f aca="false">IF(A28=0,Supuestos!$C$45,0)</f>
        <v>0</v>
      </c>
      <c r="M28" s="28" t="n">
        <f aca="false">IF(A28=0,-L28,H28-I28-J28-K28)</f>
        <v>39502.2</v>
      </c>
      <c r="N28" s="28" t="n">
        <f aca="false">N27+M28</f>
        <v>-588979.4</v>
      </c>
      <c r="O28" s="29" t="n">
        <f aca="false">1/(1+Supuestos!$C$46)^A28</f>
        <v>0.839679229564783</v>
      </c>
      <c r="P28" s="28" t="n">
        <f aca="false">M28*O28</f>
        <v>33169.176862114</v>
      </c>
      <c r="Q28" s="28" t="n">
        <f aca="false">Q27+P28</f>
        <v>-595772.25987313</v>
      </c>
      <c r="R28" s="30" t="n">
        <f aca="false">IF(AND(A28&gt;0,N28&gt;=0),1,0)</f>
        <v>0</v>
      </c>
      <c r="S28" s="30" t="n">
        <f aca="false">IF(AND(A28&gt;0,Q28&gt;=0),1,0)</f>
        <v>0</v>
      </c>
      <c r="U28" s="3" t="s">
        <v>142</v>
      </c>
      <c r="V28" s="21" t="n">
        <f aca="false">IF(V26="Sí",SUM(P6:INDEX(P6:P66,(Supuestos!$C$37+1)))-V27/(1+Supuestos!$C$46)^(Supuestos!$C$37+1),V8)</f>
        <v>487908.000264275</v>
      </c>
    </row>
    <row r="29" customFormat="false" ht="15" hidden="false" customHeight="false" outlineLevel="0" collapsed="false">
      <c r="A29" s="4" t="n">
        <v>23</v>
      </c>
      <c r="B29" s="31" t="n">
        <f aca="false">IF(A29=0,0,IF(A29&lt;=Supuestos!$C$24,Supuestos!$C$22,IF(A29&gt;=Supuestos!$D$8,$V$7,Supuestos!$C$22+($V$7-Supuestos!$C$22)*(A29-Supuestos!$C$24)/(Supuestos!$D$8-Supuestos!$C$24))))</f>
        <v>188.3</v>
      </c>
      <c r="C29" s="31" t="n">
        <f aca="false">B29*Supuestos!$D$6</f>
        <v>1506.4</v>
      </c>
      <c r="D29" s="32" t="n">
        <f aca="false">C29*Supuestos!$C$42</f>
        <v>6527.73333333333</v>
      </c>
      <c r="E29" s="32" t="n">
        <f aca="false">IF(A29=0,0,MAX(Supuestos!$C$23,ROUNDUP(C29/Supuestos!$C$18,0)))</f>
        <v>51</v>
      </c>
      <c r="F29" s="31" t="n">
        <f aca="false">MAX(0,E29-IF(A28=0,Supuestos!$C$23,E28))+Supuestos!$C$19*E29</f>
        <v>1.53</v>
      </c>
      <c r="G29" s="32" t="n">
        <f aca="false">IF(A29=0,0,MAX(1,ROUNDUP(B29/Supuestos!$C$21,0)))</f>
        <v>3</v>
      </c>
      <c r="H29" s="33" t="n">
        <f aca="false">D29*(Supuestos!$C$14+Supuestos!$D$7)</f>
        <v>652773.333333333</v>
      </c>
      <c r="I29" s="33" t="n">
        <f aca="false">D29*Supuestos!$C$43</f>
        <v>486316.133333333</v>
      </c>
      <c r="J29" s="33" t="n">
        <f aca="false">IF(A29=0,0,Supuestos!$C$44+G29*Supuestos!$C$26)</f>
        <v>121600</v>
      </c>
      <c r="K29" s="21" t="n">
        <f aca="false">F29*Supuestos!$C$20</f>
        <v>5355</v>
      </c>
      <c r="L29" s="33" t="n">
        <f aca="false">IF(A29=0,Supuestos!$C$45,0)</f>
        <v>0</v>
      </c>
      <c r="M29" s="21" t="n">
        <f aca="false">IF(A29=0,-L29,H29-I29-J29-K29)</f>
        <v>39502.2</v>
      </c>
      <c r="N29" s="21" t="n">
        <f aca="false">N28+M29</f>
        <v>-549477.2</v>
      </c>
      <c r="O29" s="34" t="n">
        <f aca="false">1/(1+Supuestos!$C$46)^A29</f>
        <v>0.833036479693309</v>
      </c>
      <c r="P29" s="21" t="n">
        <f aca="false">M29*O29</f>
        <v>32906.773628141</v>
      </c>
      <c r="Q29" s="21" t="n">
        <f aca="false">Q28+P29</f>
        <v>-562865.486244989</v>
      </c>
      <c r="R29" s="35" t="n">
        <f aca="false">IF(AND(A29&gt;0,N29&gt;=0),1,0)</f>
        <v>0</v>
      </c>
      <c r="S29" s="35" t="n">
        <f aca="false">IF(AND(A29&gt;0,Q29&gt;=0),1,0)</f>
        <v>0</v>
      </c>
      <c r="U29" s="2" t="s">
        <v>143</v>
      </c>
      <c r="V29" s="21" t="n">
        <f aca="false">IF(V26="Sí",SUM(M6:INDEX(M6:M66,(Supuestos!$C$37+1)))-V27,V16)</f>
        <v>912104.2</v>
      </c>
    </row>
    <row r="30" customFormat="false" ht="15" hidden="false" customHeight="false" outlineLevel="0" collapsed="false">
      <c r="A30" s="24" t="n">
        <v>24</v>
      </c>
      <c r="B30" s="25" t="n">
        <f aca="false">IF(A30=0,0,IF(A30&lt;=Supuestos!$C$24,Supuestos!$C$22,IF(A30&gt;=Supuestos!$D$8,$V$7,Supuestos!$C$22+($V$7-Supuestos!$C$22)*(A30-Supuestos!$C$24)/(Supuestos!$D$8-Supuestos!$C$24))))</f>
        <v>188.3</v>
      </c>
      <c r="C30" s="25" t="n">
        <f aca="false">B30*Supuestos!$D$6</f>
        <v>1506.4</v>
      </c>
      <c r="D30" s="26" t="n">
        <f aca="false">C30*Supuestos!$C$42</f>
        <v>6527.73333333333</v>
      </c>
      <c r="E30" s="26" t="n">
        <f aca="false">IF(A30=0,0,MAX(Supuestos!$C$23,ROUNDUP(C30/Supuestos!$C$18,0)))</f>
        <v>51</v>
      </c>
      <c r="F30" s="25" t="n">
        <f aca="false">MAX(0,E30-IF(A29=0,Supuestos!$C$23,E29))+Supuestos!$C$19*E30</f>
        <v>1.53</v>
      </c>
      <c r="G30" s="26" t="n">
        <f aca="false">IF(A30=0,0,MAX(1,ROUNDUP(B30/Supuestos!$C$21,0)))</f>
        <v>3</v>
      </c>
      <c r="H30" s="27" t="n">
        <f aca="false">D30*(Supuestos!$C$14+Supuestos!$D$7)</f>
        <v>652773.333333333</v>
      </c>
      <c r="I30" s="27" t="n">
        <f aca="false">D30*Supuestos!$C$43</f>
        <v>486316.133333333</v>
      </c>
      <c r="J30" s="27" t="n">
        <f aca="false">IF(A30=0,0,Supuestos!$C$44+G30*Supuestos!$C$26)</f>
        <v>121600</v>
      </c>
      <c r="K30" s="28" t="n">
        <f aca="false">F30*Supuestos!$C$20</f>
        <v>5355</v>
      </c>
      <c r="L30" s="27" t="n">
        <f aca="false">IF(A30=0,Supuestos!$C$45,0)</f>
        <v>0</v>
      </c>
      <c r="M30" s="28" t="n">
        <f aca="false">IF(A30=0,-L30,H30-I30-J30-K30)</f>
        <v>39502.2</v>
      </c>
      <c r="N30" s="28" t="n">
        <f aca="false">N29+M30</f>
        <v>-509975</v>
      </c>
      <c r="O30" s="29" t="n">
        <f aca="false">1/(1+Supuestos!$C$46)^A30</f>
        <v>0.826446280991735</v>
      </c>
      <c r="P30" s="28" t="n">
        <f aca="false">M30*O30</f>
        <v>32646.4462809917</v>
      </c>
      <c r="Q30" s="28" t="n">
        <f aca="false">Q29+P30</f>
        <v>-530219.039963997</v>
      </c>
      <c r="R30" s="30" t="n">
        <f aca="false">IF(AND(A30&gt;0,N30&gt;=0),1,0)</f>
        <v>0</v>
      </c>
      <c r="S30" s="30" t="n">
        <f aca="false">IF(AND(A30&gt;0,Q30&gt;=0),1,0)</f>
        <v>0</v>
      </c>
    </row>
    <row r="31" customFormat="false" ht="15" hidden="false" customHeight="false" outlineLevel="0" collapsed="false">
      <c r="A31" s="4" t="n">
        <v>25</v>
      </c>
      <c r="B31" s="31" t="n">
        <f aca="false">IF(A31=0,0,IF(A31&lt;=Supuestos!$C$24,Supuestos!$C$22,IF(A31&gt;=Supuestos!$D$8,$V$7,Supuestos!$C$22+($V$7-Supuestos!$C$22)*(A31-Supuestos!$C$24)/(Supuestos!$D$8-Supuestos!$C$24))))</f>
        <v>188.3</v>
      </c>
      <c r="C31" s="31" t="n">
        <f aca="false">B31*Supuestos!$D$6</f>
        <v>1506.4</v>
      </c>
      <c r="D31" s="32" t="n">
        <f aca="false">C31*Supuestos!$C$42</f>
        <v>6527.73333333333</v>
      </c>
      <c r="E31" s="32" t="n">
        <f aca="false">IF(A31=0,0,MAX(Supuestos!$C$23,ROUNDUP(C31/Supuestos!$C$18,0)))</f>
        <v>51</v>
      </c>
      <c r="F31" s="31" t="n">
        <f aca="false">MAX(0,E31-IF(A30=0,Supuestos!$C$23,E30))+Supuestos!$C$19*E31</f>
        <v>1.53</v>
      </c>
      <c r="G31" s="32" t="n">
        <f aca="false">IF(A31=0,0,MAX(1,ROUNDUP(B31/Supuestos!$C$21,0)))</f>
        <v>3</v>
      </c>
      <c r="H31" s="33" t="n">
        <f aca="false">D31*(Supuestos!$C$14+Supuestos!$D$7)</f>
        <v>652773.333333333</v>
      </c>
      <c r="I31" s="33" t="n">
        <f aca="false">D31*Supuestos!$C$43</f>
        <v>486316.133333333</v>
      </c>
      <c r="J31" s="33" t="n">
        <f aca="false">IF(A31=0,0,Supuestos!$C$44+G31*Supuestos!$C$26)</f>
        <v>121600</v>
      </c>
      <c r="K31" s="21" t="n">
        <f aca="false">F31*Supuestos!$C$20</f>
        <v>5355</v>
      </c>
      <c r="L31" s="33" t="n">
        <f aca="false">IF(A31=0,Supuestos!$C$45,0)</f>
        <v>0</v>
      </c>
      <c r="M31" s="21" t="n">
        <f aca="false">IF(A31=0,-L31,H31-I31-J31-K31)</f>
        <v>39502.2</v>
      </c>
      <c r="N31" s="21" t="n">
        <f aca="false">N30+M31</f>
        <v>-470472.8</v>
      </c>
      <c r="O31" s="34" t="n">
        <f aca="false">1/(1+Supuestos!$C$46)^A31</f>
        <v>0.819908217724785</v>
      </c>
      <c r="P31" s="21" t="n">
        <f aca="false">M31*O31</f>
        <v>32388.178398208</v>
      </c>
      <c r="Q31" s="21" t="n">
        <f aca="false">Q30+P31</f>
        <v>-497830.861565789</v>
      </c>
      <c r="R31" s="35" t="n">
        <f aca="false">IF(AND(A31&gt;0,N31&gt;=0),1,0)</f>
        <v>0</v>
      </c>
      <c r="S31" s="35" t="n">
        <f aca="false">IF(AND(A31&gt;0,Q31&gt;=0),1,0)</f>
        <v>0</v>
      </c>
    </row>
    <row r="32" customFormat="false" ht="15" hidden="false" customHeight="false" outlineLevel="0" collapsed="false">
      <c r="A32" s="24" t="n">
        <v>26</v>
      </c>
      <c r="B32" s="25" t="n">
        <f aca="false">IF(A32=0,0,IF(A32&lt;=Supuestos!$C$24,Supuestos!$C$22,IF(A32&gt;=Supuestos!$D$8,$V$7,Supuestos!$C$22+($V$7-Supuestos!$C$22)*(A32-Supuestos!$C$24)/(Supuestos!$D$8-Supuestos!$C$24))))</f>
        <v>188.3</v>
      </c>
      <c r="C32" s="25" t="n">
        <f aca="false">B32*Supuestos!$D$6</f>
        <v>1506.4</v>
      </c>
      <c r="D32" s="26" t="n">
        <f aca="false">C32*Supuestos!$C$42</f>
        <v>6527.73333333333</v>
      </c>
      <c r="E32" s="26" t="n">
        <f aca="false">IF(A32=0,0,MAX(Supuestos!$C$23,ROUNDUP(C32/Supuestos!$C$18,0)))</f>
        <v>51</v>
      </c>
      <c r="F32" s="25" t="n">
        <f aca="false">MAX(0,E32-IF(A31=0,Supuestos!$C$23,E31))+Supuestos!$C$19*E32</f>
        <v>1.53</v>
      </c>
      <c r="G32" s="26" t="n">
        <f aca="false">IF(A32=0,0,MAX(1,ROUNDUP(B32/Supuestos!$C$21,0)))</f>
        <v>3</v>
      </c>
      <c r="H32" s="27" t="n">
        <f aca="false">D32*(Supuestos!$C$14+Supuestos!$D$7)</f>
        <v>652773.333333333</v>
      </c>
      <c r="I32" s="27" t="n">
        <f aca="false">D32*Supuestos!$C$43</f>
        <v>486316.133333333</v>
      </c>
      <c r="J32" s="27" t="n">
        <f aca="false">IF(A32=0,0,Supuestos!$C$44+G32*Supuestos!$C$26)</f>
        <v>121600</v>
      </c>
      <c r="K32" s="28" t="n">
        <f aca="false">F32*Supuestos!$C$20</f>
        <v>5355</v>
      </c>
      <c r="L32" s="27" t="n">
        <f aca="false">IF(A32=0,Supuestos!$C$45,0)</f>
        <v>0</v>
      </c>
      <c r="M32" s="28" t="n">
        <f aca="false">IF(A32=0,-L32,H32-I32-J32-K32)</f>
        <v>39502.2</v>
      </c>
      <c r="N32" s="28" t="n">
        <f aca="false">N31+M32</f>
        <v>-430970.6</v>
      </c>
      <c r="O32" s="29" t="n">
        <f aca="false">1/(1+Supuestos!$C$46)^A32</f>
        <v>0.813421877446088</v>
      </c>
      <c r="P32" s="28" t="n">
        <f aca="false">M32*O32</f>
        <v>32131.9536872509</v>
      </c>
      <c r="Q32" s="28" t="n">
        <f aca="false">Q31+P32</f>
        <v>-465698.907878538</v>
      </c>
      <c r="R32" s="30" t="n">
        <f aca="false">IF(AND(A32&gt;0,N32&gt;=0),1,0)</f>
        <v>0</v>
      </c>
      <c r="S32" s="30" t="n">
        <f aca="false">IF(AND(A32&gt;0,Q32&gt;=0),1,0)</f>
        <v>0</v>
      </c>
    </row>
    <row r="33" customFormat="false" ht="15" hidden="false" customHeight="false" outlineLevel="0" collapsed="false">
      <c r="A33" s="4" t="n">
        <v>27</v>
      </c>
      <c r="B33" s="31" t="n">
        <f aca="false">IF(A33=0,0,IF(A33&lt;=Supuestos!$C$24,Supuestos!$C$22,IF(A33&gt;=Supuestos!$D$8,$V$7,Supuestos!$C$22+($V$7-Supuestos!$C$22)*(A33-Supuestos!$C$24)/(Supuestos!$D$8-Supuestos!$C$24))))</f>
        <v>188.3</v>
      </c>
      <c r="C33" s="31" t="n">
        <f aca="false">B33*Supuestos!$D$6</f>
        <v>1506.4</v>
      </c>
      <c r="D33" s="32" t="n">
        <f aca="false">C33*Supuestos!$C$42</f>
        <v>6527.73333333333</v>
      </c>
      <c r="E33" s="32" t="n">
        <f aca="false">IF(A33=0,0,MAX(Supuestos!$C$23,ROUNDUP(C33/Supuestos!$C$18,0)))</f>
        <v>51</v>
      </c>
      <c r="F33" s="31" t="n">
        <f aca="false">MAX(0,E33-IF(A32=0,Supuestos!$C$23,E32))+Supuestos!$C$19*E33</f>
        <v>1.53</v>
      </c>
      <c r="G33" s="32" t="n">
        <f aca="false">IF(A33=0,0,MAX(1,ROUNDUP(B33/Supuestos!$C$21,0)))</f>
        <v>3</v>
      </c>
      <c r="H33" s="33" t="n">
        <f aca="false">D33*(Supuestos!$C$14+Supuestos!$D$7)</f>
        <v>652773.333333333</v>
      </c>
      <c r="I33" s="33" t="n">
        <f aca="false">D33*Supuestos!$C$43</f>
        <v>486316.133333333</v>
      </c>
      <c r="J33" s="33" t="n">
        <f aca="false">IF(A33=0,0,Supuestos!$C$44+G33*Supuestos!$C$26)</f>
        <v>121600</v>
      </c>
      <c r="K33" s="21" t="n">
        <f aca="false">F33*Supuestos!$C$20</f>
        <v>5355</v>
      </c>
      <c r="L33" s="33" t="n">
        <f aca="false">IF(A33=0,Supuestos!$C$45,0)</f>
        <v>0</v>
      </c>
      <c r="M33" s="21" t="n">
        <f aca="false">IF(A33=0,-L33,H33-I33-J33-K33)</f>
        <v>39502.2</v>
      </c>
      <c r="N33" s="21" t="n">
        <f aca="false">N32+M33</f>
        <v>-391468.4</v>
      </c>
      <c r="O33" s="34" t="n">
        <f aca="false">1/(1+Supuestos!$C$46)^A33</f>
        <v>0.806986850972157</v>
      </c>
      <c r="P33" s="21" t="n">
        <f aca="false">M33*O33</f>
        <v>31877.7559844723</v>
      </c>
      <c r="Q33" s="21" t="n">
        <f aca="false">Q32+P33</f>
        <v>-433821.151894066</v>
      </c>
      <c r="R33" s="35" t="n">
        <f aca="false">IF(AND(A33&gt;0,N33&gt;=0),1,0)</f>
        <v>0</v>
      </c>
      <c r="S33" s="35" t="n">
        <f aca="false">IF(AND(A33&gt;0,Q33&gt;=0),1,0)</f>
        <v>0</v>
      </c>
    </row>
    <row r="34" customFormat="false" ht="15" hidden="false" customHeight="false" outlineLevel="0" collapsed="false">
      <c r="A34" s="24" t="n">
        <v>28</v>
      </c>
      <c r="B34" s="25" t="n">
        <f aca="false">IF(A34=0,0,IF(A34&lt;=Supuestos!$C$24,Supuestos!$C$22,IF(A34&gt;=Supuestos!$D$8,$V$7,Supuestos!$C$22+($V$7-Supuestos!$C$22)*(A34-Supuestos!$C$24)/(Supuestos!$D$8-Supuestos!$C$24))))</f>
        <v>188.3</v>
      </c>
      <c r="C34" s="25" t="n">
        <f aca="false">B34*Supuestos!$D$6</f>
        <v>1506.4</v>
      </c>
      <c r="D34" s="26" t="n">
        <f aca="false">C34*Supuestos!$C$42</f>
        <v>6527.73333333333</v>
      </c>
      <c r="E34" s="26" t="n">
        <f aca="false">IF(A34=0,0,MAX(Supuestos!$C$23,ROUNDUP(C34/Supuestos!$C$18,0)))</f>
        <v>51</v>
      </c>
      <c r="F34" s="25" t="n">
        <f aca="false">MAX(0,E34-IF(A33=0,Supuestos!$C$23,E33))+Supuestos!$C$19*E34</f>
        <v>1.53</v>
      </c>
      <c r="G34" s="26" t="n">
        <f aca="false">IF(A34=0,0,MAX(1,ROUNDUP(B34/Supuestos!$C$21,0)))</f>
        <v>3</v>
      </c>
      <c r="H34" s="27" t="n">
        <f aca="false">D34*(Supuestos!$C$14+Supuestos!$D$7)</f>
        <v>652773.333333333</v>
      </c>
      <c r="I34" s="27" t="n">
        <f aca="false">D34*Supuestos!$C$43</f>
        <v>486316.133333333</v>
      </c>
      <c r="J34" s="27" t="n">
        <f aca="false">IF(A34=0,0,Supuestos!$C$44+G34*Supuestos!$C$26)</f>
        <v>121600</v>
      </c>
      <c r="K34" s="28" t="n">
        <f aca="false">F34*Supuestos!$C$20</f>
        <v>5355</v>
      </c>
      <c r="L34" s="27" t="n">
        <f aca="false">IF(A34=0,Supuestos!$C$45,0)</f>
        <v>0</v>
      </c>
      <c r="M34" s="28" t="n">
        <f aca="false">IF(A34=0,-L34,H34-I34-J34-K34)</f>
        <v>39502.2</v>
      </c>
      <c r="N34" s="28" t="n">
        <f aca="false">N33+M34</f>
        <v>-351966.2</v>
      </c>
      <c r="O34" s="29" t="n">
        <f aca="false">1/(1+Supuestos!$C$46)^A34</f>
        <v>0.800602732356582</v>
      </c>
      <c r="P34" s="28" t="n">
        <f aca="false">M34*O34</f>
        <v>31625.5692540962</v>
      </c>
      <c r="Q34" s="28" t="n">
        <f aca="false">Q33+P34</f>
        <v>-402195.58263997</v>
      </c>
      <c r="R34" s="30" t="n">
        <f aca="false">IF(AND(A34&gt;0,N34&gt;=0),1,0)</f>
        <v>0</v>
      </c>
      <c r="S34" s="30" t="n">
        <f aca="false">IF(AND(A34&gt;0,Q34&gt;=0),1,0)</f>
        <v>0</v>
      </c>
    </row>
    <row r="35" customFormat="false" ht="15" hidden="false" customHeight="false" outlineLevel="0" collapsed="false">
      <c r="A35" s="4" t="n">
        <v>29</v>
      </c>
      <c r="B35" s="31" t="n">
        <f aca="false">IF(A35=0,0,IF(A35&lt;=Supuestos!$C$24,Supuestos!$C$22,IF(A35&gt;=Supuestos!$D$8,$V$7,Supuestos!$C$22+($V$7-Supuestos!$C$22)*(A35-Supuestos!$C$24)/(Supuestos!$D$8-Supuestos!$C$24))))</f>
        <v>188.3</v>
      </c>
      <c r="C35" s="31" t="n">
        <f aca="false">B35*Supuestos!$D$6</f>
        <v>1506.4</v>
      </c>
      <c r="D35" s="32" t="n">
        <f aca="false">C35*Supuestos!$C$42</f>
        <v>6527.73333333333</v>
      </c>
      <c r="E35" s="32" t="n">
        <f aca="false">IF(A35=0,0,MAX(Supuestos!$C$23,ROUNDUP(C35/Supuestos!$C$18,0)))</f>
        <v>51</v>
      </c>
      <c r="F35" s="31" t="n">
        <f aca="false">MAX(0,E35-IF(A34=0,Supuestos!$C$23,E34))+Supuestos!$C$19*E35</f>
        <v>1.53</v>
      </c>
      <c r="G35" s="32" t="n">
        <f aca="false">IF(A35=0,0,MAX(1,ROUNDUP(B35/Supuestos!$C$21,0)))</f>
        <v>3</v>
      </c>
      <c r="H35" s="33" t="n">
        <f aca="false">D35*(Supuestos!$C$14+Supuestos!$D$7)</f>
        <v>652773.333333333</v>
      </c>
      <c r="I35" s="33" t="n">
        <f aca="false">D35*Supuestos!$C$43</f>
        <v>486316.133333333</v>
      </c>
      <c r="J35" s="33" t="n">
        <f aca="false">IF(A35=0,0,Supuestos!$C$44+G35*Supuestos!$C$26)</f>
        <v>121600</v>
      </c>
      <c r="K35" s="21" t="n">
        <f aca="false">F35*Supuestos!$C$20</f>
        <v>5355</v>
      </c>
      <c r="L35" s="33" t="n">
        <f aca="false">IF(A35=0,Supuestos!$C$45,0)</f>
        <v>0</v>
      </c>
      <c r="M35" s="21" t="n">
        <f aca="false">IF(A35=0,-L35,H35-I35-J35-K35)</f>
        <v>39502.2</v>
      </c>
      <c r="N35" s="21" t="n">
        <f aca="false">N34+M35</f>
        <v>-312464</v>
      </c>
      <c r="O35" s="34" t="n">
        <f aca="false">1/(1+Supuestos!$C$46)^A35</f>
        <v>0.794269118864415</v>
      </c>
      <c r="P35" s="21" t="n">
        <f aca="false">M35*O35</f>
        <v>31375.3775872059</v>
      </c>
      <c r="Q35" s="21" t="n">
        <f aca="false">Q34+P35</f>
        <v>-370820.205052764</v>
      </c>
      <c r="R35" s="35" t="n">
        <f aca="false">IF(AND(A35&gt;0,N35&gt;=0),1,0)</f>
        <v>0</v>
      </c>
      <c r="S35" s="35" t="n">
        <f aca="false">IF(AND(A35&gt;0,Q35&gt;=0),1,0)</f>
        <v>0</v>
      </c>
    </row>
    <row r="36" customFormat="false" ht="15" hidden="false" customHeight="false" outlineLevel="0" collapsed="false">
      <c r="A36" s="24" t="n">
        <v>30</v>
      </c>
      <c r="B36" s="25" t="n">
        <f aca="false">IF(A36=0,0,IF(A36&lt;=Supuestos!$C$24,Supuestos!$C$22,IF(A36&gt;=Supuestos!$D$8,$V$7,Supuestos!$C$22+($V$7-Supuestos!$C$22)*(A36-Supuestos!$C$24)/(Supuestos!$D$8-Supuestos!$C$24))))</f>
        <v>188.3</v>
      </c>
      <c r="C36" s="25" t="n">
        <f aca="false">B36*Supuestos!$D$6</f>
        <v>1506.4</v>
      </c>
      <c r="D36" s="26" t="n">
        <f aca="false">C36*Supuestos!$C$42</f>
        <v>6527.73333333333</v>
      </c>
      <c r="E36" s="26" t="n">
        <f aca="false">IF(A36=0,0,MAX(Supuestos!$C$23,ROUNDUP(C36/Supuestos!$C$18,0)))</f>
        <v>51</v>
      </c>
      <c r="F36" s="25" t="n">
        <f aca="false">MAX(0,E36-IF(A35=0,Supuestos!$C$23,E35))+Supuestos!$C$19*E36</f>
        <v>1.53</v>
      </c>
      <c r="G36" s="26" t="n">
        <f aca="false">IF(A36=0,0,MAX(1,ROUNDUP(B36/Supuestos!$C$21,0)))</f>
        <v>3</v>
      </c>
      <c r="H36" s="27" t="n">
        <f aca="false">D36*(Supuestos!$C$14+Supuestos!$D$7)</f>
        <v>652773.333333333</v>
      </c>
      <c r="I36" s="27" t="n">
        <f aca="false">D36*Supuestos!$C$43</f>
        <v>486316.133333333</v>
      </c>
      <c r="J36" s="27" t="n">
        <f aca="false">IF(A36=0,0,Supuestos!$C$44+G36*Supuestos!$C$26)</f>
        <v>121600</v>
      </c>
      <c r="K36" s="28" t="n">
        <f aca="false">F36*Supuestos!$C$20</f>
        <v>5355</v>
      </c>
      <c r="L36" s="27" t="n">
        <f aca="false">IF(A36=0,Supuestos!$C$45,0)</f>
        <v>0</v>
      </c>
      <c r="M36" s="28" t="n">
        <f aca="false">IF(A36=0,-L36,H36-I36-J36-K36)</f>
        <v>39502.2</v>
      </c>
      <c r="N36" s="28" t="n">
        <f aca="false">N35+M36</f>
        <v>-272961.8</v>
      </c>
      <c r="O36" s="29" t="n">
        <f aca="false">1/(1+Supuestos!$C$46)^A36</f>
        <v>0.78798561094677</v>
      </c>
      <c r="P36" s="28" t="n">
        <f aca="false">M36*O36</f>
        <v>31127.1652007415</v>
      </c>
      <c r="Q36" s="28" t="n">
        <f aca="false">Q35+P36</f>
        <v>-339693.039852022</v>
      </c>
      <c r="R36" s="30" t="n">
        <f aca="false">IF(AND(A36&gt;0,N36&gt;=0),1,0)</f>
        <v>0</v>
      </c>
      <c r="S36" s="30" t="n">
        <f aca="false">IF(AND(A36&gt;0,Q36&gt;=0),1,0)</f>
        <v>0</v>
      </c>
    </row>
    <row r="37" customFormat="false" ht="15" hidden="false" customHeight="false" outlineLevel="0" collapsed="false">
      <c r="A37" s="4" t="n">
        <v>31</v>
      </c>
      <c r="B37" s="31" t="n">
        <f aca="false">IF(A37=0,0,IF(A37&lt;=Supuestos!$C$24,Supuestos!$C$22,IF(A37&gt;=Supuestos!$D$8,$V$7,Supuestos!$C$22+($V$7-Supuestos!$C$22)*(A37-Supuestos!$C$24)/(Supuestos!$D$8-Supuestos!$C$24))))</f>
        <v>188.3</v>
      </c>
      <c r="C37" s="31" t="n">
        <f aca="false">B37*Supuestos!$D$6</f>
        <v>1506.4</v>
      </c>
      <c r="D37" s="32" t="n">
        <f aca="false">C37*Supuestos!$C$42</f>
        <v>6527.73333333333</v>
      </c>
      <c r="E37" s="32" t="n">
        <f aca="false">IF(A37=0,0,MAX(Supuestos!$C$23,ROUNDUP(C37/Supuestos!$C$18,0)))</f>
        <v>51</v>
      </c>
      <c r="F37" s="31" t="n">
        <f aca="false">MAX(0,E37-IF(A36=0,Supuestos!$C$23,E36))+Supuestos!$C$19*E37</f>
        <v>1.53</v>
      </c>
      <c r="G37" s="32" t="n">
        <f aca="false">IF(A37=0,0,MAX(1,ROUNDUP(B37/Supuestos!$C$21,0)))</f>
        <v>3</v>
      </c>
      <c r="H37" s="33" t="n">
        <f aca="false">D37*(Supuestos!$C$14+Supuestos!$D$7)</f>
        <v>652773.333333333</v>
      </c>
      <c r="I37" s="33" t="n">
        <f aca="false">D37*Supuestos!$C$43</f>
        <v>486316.133333333</v>
      </c>
      <c r="J37" s="33" t="n">
        <f aca="false">IF(A37=0,0,Supuestos!$C$44+G37*Supuestos!$C$26)</f>
        <v>121600</v>
      </c>
      <c r="K37" s="21" t="n">
        <f aca="false">F37*Supuestos!$C$20</f>
        <v>5355</v>
      </c>
      <c r="L37" s="33" t="n">
        <f aca="false">IF(A37=0,Supuestos!$C$45,0)</f>
        <v>0</v>
      </c>
      <c r="M37" s="21" t="n">
        <f aca="false">IF(A37=0,-L37,H37-I37-J37-K37)</f>
        <v>39502.2</v>
      </c>
      <c r="N37" s="21" t="n">
        <f aca="false">N36+M37</f>
        <v>-233459.6</v>
      </c>
      <c r="O37" s="34" t="n">
        <f aca="false">1/(1+Supuestos!$C$46)^A37</f>
        <v>0.781751812215613</v>
      </c>
      <c r="P37" s="21" t="n">
        <f aca="false">M37*O37</f>
        <v>30880.9164365036</v>
      </c>
      <c r="Q37" s="21" t="n">
        <f aca="false">Q36+P37</f>
        <v>-308812.123415519</v>
      </c>
      <c r="R37" s="35" t="n">
        <f aca="false">IF(AND(A37&gt;0,N37&gt;=0),1,0)</f>
        <v>0</v>
      </c>
      <c r="S37" s="35" t="n">
        <f aca="false">IF(AND(A37&gt;0,Q37&gt;=0),1,0)</f>
        <v>0</v>
      </c>
    </row>
    <row r="38" customFormat="false" ht="15" hidden="false" customHeight="false" outlineLevel="0" collapsed="false">
      <c r="A38" s="24" t="n">
        <v>32</v>
      </c>
      <c r="B38" s="25" t="n">
        <f aca="false">IF(A38=0,0,IF(A38&lt;=Supuestos!$C$24,Supuestos!$C$22,IF(A38&gt;=Supuestos!$D$8,$V$7,Supuestos!$C$22+($V$7-Supuestos!$C$22)*(A38-Supuestos!$C$24)/(Supuestos!$D$8-Supuestos!$C$24))))</f>
        <v>188.3</v>
      </c>
      <c r="C38" s="25" t="n">
        <f aca="false">B38*Supuestos!$D$6</f>
        <v>1506.4</v>
      </c>
      <c r="D38" s="26" t="n">
        <f aca="false">C38*Supuestos!$C$42</f>
        <v>6527.73333333333</v>
      </c>
      <c r="E38" s="26" t="n">
        <f aca="false">IF(A38=0,0,MAX(Supuestos!$C$23,ROUNDUP(C38/Supuestos!$C$18,0)))</f>
        <v>51</v>
      </c>
      <c r="F38" s="25" t="n">
        <f aca="false">MAX(0,E38-IF(A37=0,Supuestos!$C$23,E37))+Supuestos!$C$19*E38</f>
        <v>1.53</v>
      </c>
      <c r="G38" s="26" t="n">
        <f aca="false">IF(A38=0,0,MAX(1,ROUNDUP(B38/Supuestos!$C$21,0)))</f>
        <v>3</v>
      </c>
      <c r="H38" s="27" t="n">
        <f aca="false">D38*(Supuestos!$C$14+Supuestos!$D$7)</f>
        <v>652773.333333333</v>
      </c>
      <c r="I38" s="27" t="n">
        <f aca="false">D38*Supuestos!$C$43</f>
        <v>486316.133333333</v>
      </c>
      <c r="J38" s="27" t="n">
        <f aca="false">IF(A38=0,0,Supuestos!$C$44+G38*Supuestos!$C$26)</f>
        <v>121600</v>
      </c>
      <c r="K38" s="28" t="n">
        <f aca="false">F38*Supuestos!$C$20</f>
        <v>5355</v>
      </c>
      <c r="L38" s="27" t="n">
        <f aca="false">IF(A38=0,Supuestos!$C$45,0)</f>
        <v>0</v>
      </c>
      <c r="M38" s="28" t="n">
        <f aca="false">IF(A38=0,-L38,H38-I38-J38-K38)</f>
        <v>39502.2</v>
      </c>
      <c r="N38" s="28" t="n">
        <f aca="false">N37+M38</f>
        <v>-193957.4</v>
      </c>
      <c r="O38" s="29" t="n">
        <f aca="false">1/(1+Supuestos!$C$46)^A38</f>
        <v>0.775567329418758</v>
      </c>
      <c r="P38" s="28" t="n">
        <f aca="false">M38*O38</f>
        <v>30636.6157601657</v>
      </c>
      <c r="Q38" s="28" t="n">
        <f aca="false">Q37+P38</f>
        <v>-278175.507655353</v>
      </c>
      <c r="R38" s="30" t="n">
        <f aca="false">IF(AND(A38&gt;0,N38&gt;=0),1,0)</f>
        <v>0</v>
      </c>
      <c r="S38" s="30" t="n">
        <f aca="false">IF(AND(A38&gt;0,Q38&gt;=0),1,0)</f>
        <v>0</v>
      </c>
    </row>
    <row r="39" customFormat="false" ht="15" hidden="false" customHeight="false" outlineLevel="0" collapsed="false">
      <c r="A39" s="4" t="n">
        <v>33</v>
      </c>
      <c r="B39" s="31" t="n">
        <f aca="false">IF(A39=0,0,IF(A39&lt;=Supuestos!$C$24,Supuestos!$C$22,IF(A39&gt;=Supuestos!$D$8,$V$7,Supuestos!$C$22+($V$7-Supuestos!$C$22)*(A39-Supuestos!$C$24)/(Supuestos!$D$8-Supuestos!$C$24))))</f>
        <v>188.3</v>
      </c>
      <c r="C39" s="31" t="n">
        <f aca="false">B39*Supuestos!$D$6</f>
        <v>1506.4</v>
      </c>
      <c r="D39" s="32" t="n">
        <f aca="false">C39*Supuestos!$C$42</f>
        <v>6527.73333333333</v>
      </c>
      <c r="E39" s="32" t="n">
        <f aca="false">IF(A39=0,0,MAX(Supuestos!$C$23,ROUNDUP(C39/Supuestos!$C$18,0)))</f>
        <v>51</v>
      </c>
      <c r="F39" s="31" t="n">
        <f aca="false">MAX(0,E39-IF(A38=0,Supuestos!$C$23,E38))+Supuestos!$C$19*E39</f>
        <v>1.53</v>
      </c>
      <c r="G39" s="32" t="n">
        <f aca="false">IF(A39=0,0,MAX(1,ROUNDUP(B39/Supuestos!$C$21,0)))</f>
        <v>3</v>
      </c>
      <c r="H39" s="33" t="n">
        <f aca="false">D39*(Supuestos!$C$14+Supuestos!$D$7)</f>
        <v>652773.333333333</v>
      </c>
      <c r="I39" s="33" t="n">
        <f aca="false">D39*Supuestos!$C$43</f>
        <v>486316.133333333</v>
      </c>
      <c r="J39" s="33" t="n">
        <f aca="false">IF(A39=0,0,Supuestos!$C$44+G39*Supuestos!$C$26)</f>
        <v>121600</v>
      </c>
      <c r="K39" s="21" t="n">
        <f aca="false">F39*Supuestos!$C$20</f>
        <v>5355</v>
      </c>
      <c r="L39" s="33" t="n">
        <f aca="false">IF(A39=0,Supuestos!$C$45,0)</f>
        <v>0</v>
      </c>
      <c r="M39" s="21" t="n">
        <f aca="false">IF(A39=0,-L39,H39-I39-J39-K39)</f>
        <v>39502.2</v>
      </c>
      <c r="N39" s="21" t="n">
        <f aca="false">N38+M39</f>
        <v>-154455.2</v>
      </c>
      <c r="O39" s="34" t="n">
        <f aca="false">1/(1+Supuestos!$C$46)^A39</f>
        <v>0.76943177241506</v>
      </c>
      <c r="P39" s="21" t="n">
        <f aca="false">M39*O39</f>
        <v>30394.2477602942</v>
      </c>
      <c r="Q39" s="21" t="n">
        <f aca="false">Q38+P39</f>
        <v>-247781.259895059</v>
      </c>
      <c r="R39" s="35" t="n">
        <f aca="false">IF(AND(A39&gt;0,N39&gt;=0),1,0)</f>
        <v>0</v>
      </c>
      <c r="S39" s="35" t="n">
        <f aca="false">IF(AND(A39&gt;0,Q39&gt;=0),1,0)</f>
        <v>0</v>
      </c>
    </row>
    <row r="40" customFormat="false" ht="15" hidden="false" customHeight="false" outlineLevel="0" collapsed="false">
      <c r="A40" s="24" t="n">
        <v>34</v>
      </c>
      <c r="B40" s="25" t="n">
        <f aca="false">IF(A40=0,0,IF(A40&lt;=Supuestos!$C$24,Supuestos!$C$22,IF(A40&gt;=Supuestos!$D$8,$V$7,Supuestos!$C$22+($V$7-Supuestos!$C$22)*(A40-Supuestos!$C$24)/(Supuestos!$D$8-Supuestos!$C$24))))</f>
        <v>188.3</v>
      </c>
      <c r="C40" s="25" t="n">
        <f aca="false">B40*Supuestos!$D$6</f>
        <v>1506.4</v>
      </c>
      <c r="D40" s="26" t="n">
        <f aca="false">C40*Supuestos!$C$42</f>
        <v>6527.73333333333</v>
      </c>
      <c r="E40" s="26" t="n">
        <f aca="false">IF(A40=0,0,MAX(Supuestos!$C$23,ROUNDUP(C40/Supuestos!$C$18,0)))</f>
        <v>51</v>
      </c>
      <c r="F40" s="25" t="n">
        <f aca="false">MAX(0,E40-IF(A39=0,Supuestos!$C$23,E39))+Supuestos!$C$19*E40</f>
        <v>1.53</v>
      </c>
      <c r="G40" s="26" t="n">
        <f aca="false">IF(A40=0,0,MAX(1,ROUNDUP(B40/Supuestos!$C$21,0)))</f>
        <v>3</v>
      </c>
      <c r="H40" s="27" t="n">
        <f aca="false">D40*(Supuestos!$C$14+Supuestos!$D$7)</f>
        <v>652773.333333333</v>
      </c>
      <c r="I40" s="27" t="n">
        <f aca="false">D40*Supuestos!$C$43</f>
        <v>486316.133333333</v>
      </c>
      <c r="J40" s="27" t="n">
        <f aca="false">IF(A40=0,0,Supuestos!$C$44+G40*Supuestos!$C$26)</f>
        <v>121600</v>
      </c>
      <c r="K40" s="28" t="n">
        <f aca="false">F40*Supuestos!$C$20</f>
        <v>5355</v>
      </c>
      <c r="L40" s="27" t="n">
        <f aca="false">IF(A40=0,Supuestos!$C$45,0)</f>
        <v>0</v>
      </c>
      <c r="M40" s="28" t="n">
        <f aca="false">IF(A40=0,-L40,H40-I40-J40-K40)</f>
        <v>39502.2</v>
      </c>
      <c r="N40" s="28" t="n">
        <f aca="false">N39+M40</f>
        <v>-114953</v>
      </c>
      <c r="O40" s="29" t="n">
        <f aca="false">1/(1+Supuestos!$C$46)^A40</f>
        <v>0.763344754149802</v>
      </c>
      <c r="P40" s="28" t="n">
        <f aca="false">M40*O40</f>
        <v>30153.7971473763</v>
      </c>
      <c r="Q40" s="28" t="n">
        <f aca="false">Q39+P40</f>
        <v>-217627.462747683</v>
      </c>
      <c r="R40" s="30" t="n">
        <f aca="false">IF(AND(A40&gt;0,N40&gt;=0),1,0)</f>
        <v>0</v>
      </c>
      <c r="S40" s="30" t="n">
        <f aca="false">IF(AND(A40&gt;0,Q40&gt;=0),1,0)</f>
        <v>0</v>
      </c>
    </row>
    <row r="41" customFormat="false" ht="15" hidden="false" customHeight="false" outlineLevel="0" collapsed="false">
      <c r="A41" s="4" t="n">
        <v>35</v>
      </c>
      <c r="B41" s="31" t="n">
        <f aca="false">IF(A41=0,0,IF(A41&lt;=Supuestos!$C$24,Supuestos!$C$22,IF(A41&gt;=Supuestos!$D$8,$V$7,Supuestos!$C$22+($V$7-Supuestos!$C$22)*(A41-Supuestos!$C$24)/(Supuestos!$D$8-Supuestos!$C$24))))</f>
        <v>188.3</v>
      </c>
      <c r="C41" s="31" t="n">
        <f aca="false">B41*Supuestos!$D$6</f>
        <v>1506.4</v>
      </c>
      <c r="D41" s="32" t="n">
        <f aca="false">C41*Supuestos!$C$42</f>
        <v>6527.73333333333</v>
      </c>
      <c r="E41" s="32" t="n">
        <f aca="false">IF(A41=0,0,MAX(Supuestos!$C$23,ROUNDUP(C41/Supuestos!$C$18,0)))</f>
        <v>51</v>
      </c>
      <c r="F41" s="31" t="n">
        <f aca="false">MAX(0,E41-IF(A40=0,Supuestos!$C$23,E40))+Supuestos!$C$19*E41</f>
        <v>1.53</v>
      </c>
      <c r="G41" s="32" t="n">
        <f aca="false">IF(A41=0,0,MAX(1,ROUNDUP(B41/Supuestos!$C$21,0)))</f>
        <v>3</v>
      </c>
      <c r="H41" s="33" t="n">
        <f aca="false">D41*(Supuestos!$C$14+Supuestos!$D$7)</f>
        <v>652773.333333333</v>
      </c>
      <c r="I41" s="33" t="n">
        <f aca="false">D41*Supuestos!$C$43</f>
        <v>486316.133333333</v>
      </c>
      <c r="J41" s="33" t="n">
        <f aca="false">IF(A41=0,0,Supuestos!$C$44+G41*Supuestos!$C$26)</f>
        <v>121600</v>
      </c>
      <c r="K41" s="21" t="n">
        <f aca="false">F41*Supuestos!$C$20</f>
        <v>5355</v>
      </c>
      <c r="L41" s="33" t="n">
        <f aca="false">IF(A41=0,Supuestos!$C$45,0)</f>
        <v>0</v>
      </c>
      <c r="M41" s="21" t="n">
        <f aca="false">IF(A41=0,-L41,H41-I41-J41-K41)</f>
        <v>39502.2</v>
      </c>
      <c r="N41" s="21" t="n">
        <f aca="false">N40+M41</f>
        <v>-75450.7999999996</v>
      </c>
      <c r="O41" s="34" t="n">
        <f aca="false">1/(1+Supuestos!$C$46)^A41</f>
        <v>0.75730589063028</v>
      </c>
      <c r="P41" s="21" t="n">
        <f aca="false">M41*O41</f>
        <v>29915.2487528555</v>
      </c>
      <c r="Q41" s="21" t="n">
        <f aca="false">Q40+P41</f>
        <v>-187712.213994827</v>
      </c>
      <c r="R41" s="35" t="n">
        <f aca="false">IF(AND(A41&gt;0,N41&gt;=0),1,0)</f>
        <v>0</v>
      </c>
      <c r="S41" s="35" t="n">
        <f aca="false">IF(AND(A41&gt;0,Q41&gt;=0),1,0)</f>
        <v>0</v>
      </c>
    </row>
    <row r="42" customFormat="false" ht="15" hidden="false" customHeight="false" outlineLevel="0" collapsed="false">
      <c r="A42" s="24" t="n">
        <v>36</v>
      </c>
      <c r="B42" s="25" t="n">
        <f aca="false">IF(A42=0,0,IF(A42&lt;=Supuestos!$C$24,Supuestos!$C$22,IF(A42&gt;=Supuestos!$D$8,$V$7,Supuestos!$C$22+($V$7-Supuestos!$C$22)*(A42-Supuestos!$C$24)/(Supuestos!$D$8-Supuestos!$C$24))))</f>
        <v>188.3</v>
      </c>
      <c r="C42" s="25" t="n">
        <f aca="false">B42*Supuestos!$D$6</f>
        <v>1506.4</v>
      </c>
      <c r="D42" s="26" t="n">
        <f aca="false">C42*Supuestos!$C$42</f>
        <v>6527.73333333333</v>
      </c>
      <c r="E42" s="26" t="n">
        <f aca="false">IF(A42=0,0,MAX(Supuestos!$C$23,ROUNDUP(C42/Supuestos!$C$18,0)))</f>
        <v>51</v>
      </c>
      <c r="F42" s="25" t="n">
        <f aca="false">MAX(0,E42-IF(A41=0,Supuestos!$C$23,E41))+Supuestos!$C$19*E42</f>
        <v>1.53</v>
      </c>
      <c r="G42" s="26" t="n">
        <f aca="false">IF(A42=0,0,MAX(1,ROUNDUP(B42/Supuestos!$C$21,0)))</f>
        <v>3</v>
      </c>
      <c r="H42" s="27" t="n">
        <f aca="false">D42*(Supuestos!$C$14+Supuestos!$D$7)</f>
        <v>652773.333333333</v>
      </c>
      <c r="I42" s="27" t="n">
        <f aca="false">D42*Supuestos!$C$43</f>
        <v>486316.133333333</v>
      </c>
      <c r="J42" s="27" t="n">
        <f aca="false">IF(A42=0,0,Supuestos!$C$44+G42*Supuestos!$C$26)</f>
        <v>121600</v>
      </c>
      <c r="K42" s="28" t="n">
        <f aca="false">F42*Supuestos!$C$20</f>
        <v>5355</v>
      </c>
      <c r="L42" s="27" t="n">
        <f aca="false">IF(A42=0,Supuestos!$C$45,0)</f>
        <v>0</v>
      </c>
      <c r="M42" s="28" t="n">
        <f aca="false">IF(A42=0,-L42,H42-I42-J42-K42)</f>
        <v>39502.2</v>
      </c>
      <c r="N42" s="28" t="n">
        <f aca="false">N41+M42</f>
        <v>-35948.5999999996</v>
      </c>
      <c r="O42" s="29" t="n">
        <f aca="false">1/(1+Supuestos!$C$46)^A42</f>
        <v>0.751314800901577</v>
      </c>
      <c r="P42" s="28" t="n">
        <f aca="false">M42*O42</f>
        <v>29678.5875281743</v>
      </c>
      <c r="Q42" s="28" t="n">
        <f aca="false">Q41+P42</f>
        <v>-158033.626466653</v>
      </c>
      <c r="R42" s="30" t="n">
        <f aca="false">IF(AND(A42&gt;0,N42&gt;=0),1,0)</f>
        <v>0</v>
      </c>
      <c r="S42" s="30" t="n">
        <f aca="false">IF(AND(A42&gt;0,Q42&gt;=0),1,0)</f>
        <v>0</v>
      </c>
    </row>
    <row r="43" customFormat="false" ht="15" hidden="false" customHeight="false" outlineLevel="0" collapsed="false">
      <c r="A43" s="4" t="n">
        <v>37</v>
      </c>
      <c r="B43" s="31" t="n">
        <f aca="false">IF(A43=0,0,IF(A43&lt;=Supuestos!$C$24,Supuestos!$C$22,IF(A43&gt;=Supuestos!$D$8,$V$7,Supuestos!$C$22+($V$7-Supuestos!$C$22)*(A43-Supuestos!$C$24)/(Supuestos!$D$8-Supuestos!$C$24))))</f>
        <v>188.3</v>
      </c>
      <c r="C43" s="31" t="n">
        <f aca="false">B43*Supuestos!$D$6</f>
        <v>1506.4</v>
      </c>
      <c r="D43" s="32" t="n">
        <f aca="false">C43*Supuestos!$C$42</f>
        <v>6527.73333333333</v>
      </c>
      <c r="E43" s="32" t="n">
        <f aca="false">IF(A43=0,0,MAX(Supuestos!$C$23,ROUNDUP(C43/Supuestos!$C$18,0)))</f>
        <v>51</v>
      </c>
      <c r="F43" s="31" t="n">
        <f aca="false">MAX(0,E43-IF(A42=0,Supuestos!$C$23,E42))+Supuestos!$C$19*E43</f>
        <v>1.53</v>
      </c>
      <c r="G43" s="32" t="n">
        <f aca="false">IF(A43=0,0,MAX(1,ROUNDUP(B43/Supuestos!$C$21,0)))</f>
        <v>3</v>
      </c>
      <c r="H43" s="33" t="n">
        <f aca="false">D43*(Supuestos!$C$14+Supuestos!$D$7)</f>
        <v>652773.333333333</v>
      </c>
      <c r="I43" s="33" t="n">
        <f aca="false">D43*Supuestos!$C$43</f>
        <v>486316.133333333</v>
      </c>
      <c r="J43" s="33" t="n">
        <f aca="false">IF(A43=0,0,Supuestos!$C$44+G43*Supuestos!$C$26)</f>
        <v>121600</v>
      </c>
      <c r="K43" s="21" t="n">
        <f aca="false">F43*Supuestos!$C$20</f>
        <v>5355</v>
      </c>
      <c r="L43" s="33" t="n">
        <f aca="false">IF(A43=0,Supuestos!$C$45,0)</f>
        <v>0</v>
      </c>
      <c r="M43" s="21" t="n">
        <f aca="false">IF(A43=0,-L43,H43-I43-J43-K43)</f>
        <v>39502.2</v>
      </c>
      <c r="N43" s="21" t="n">
        <f aca="false">N42+M43</f>
        <v>3553.60000000044</v>
      </c>
      <c r="O43" s="34" t="n">
        <f aca="false">1/(1+Supuestos!$C$46)^A43</f>
        <v>0.745371107022532</v>
      </c>
      <c r="P43" s="21" t="n">
        <f aca="false">M43*O43</f>
        <v>29443.7985438255</v>
      </c>
      <c r="Q43" s="21" t="n">
        <f aca="false">Q42+P43</f>
        <v>-128589.827922827</v>
      </c>
      <c r="R43" s="35" t="n">
        <f aca="false">IF(AND(A43&gt;0,N43&gt;=0),1,0)</f>
        <v>1</v>
      </c>
      <c r="S43" s="35" t="n">
        <f aca="false">IF(AND(A43&gt;0,Q43&gt;=0),1,0)</f>
        <v>0</v>
      </c>
    </row>
    <row r="44" customFormat="false" ht="15" hidden="false" customHeight="false" outlineLevel="0" collapsed="false">
      <c r="A44" s="24" t="n">
        <v>38</v>
      </c>
      <c r="B44" s="25" t="n">
        <f aca="false">IF(A44=0,0,IF(A44&lt;=Supuestos!$C$24,Supuestos!$C$22,IF(A44&gt;=Supuestos!$D$8,$V$7,Supuestos!$C$22+($V$7-Supuestos!$C$22)*(A44-Supuestos!$C$24)/(Supuestos!$D$8-Supuestos!$C$24))))</f>
        <v>188.3</v>
      </c>
      <c r="C44" s="25" t="n">
        <f aca="false">B44*Supuestos!$D$6</f>
        <v>1506.4</v>
      </c>
      <c r="D44" s="26" t="n">
        <f aca="false">C44*Supuestos!$C$42</f>
        <v>6527.73333333333</v>
      </c>
      <c r="E44" s="26" t="n">
        <f aca="false">IF(A44=0,0,MAX(Supuestos!$C$23,ROUNDUP(C44/Supuestos!$C$18,0)))</f>
        <v>51</v>
      </c>
      <c r="F44" s="25" t="n">
        <f aca="false">MAX(0,E44-IF(A43=0,Supuestos!$C$23,E43))+Supuestos!$C$19*E44</f>
        <v>1.53</v>
      </c>
      <c r="G44" s="26" t="n">
        <f aca="false">IF(A44=0,0,MAX(1,ROUNDUP(B44/Supuestos!$C$21,0)))</f>
        <v>3</v>
      </c>
      <c r="H44" s="27" t="n">
        <f aca="false">D44*(Supuestos!$C$14+Supuestos!$D$7)</f>
        <v>652773.333333333</v>
      </c>
      <c r="I44" s="27" t="n">
        <f aca="false">D44*Supuestos!$C$43</f>
        <v>486316.133333333</v>
      </c>
      <c r="J44" s="27" t="n">
        <f aca="false">IF(A44=0,0,Supuestos!$C$44+G44*Supuestos!$C$26)</f>
        <v>121600</v>
      </c>
      <c r="K44" s="28" t="n">
        <f aca="false">F44*Supuestos!$C$20</f>
        <v>5355</v>
      </c>
      <c r="L44" s="27" t="n">
        <f aca="false">IF(A44=0,Supuestos!$C$45,0)</f>
        <v>0</v>
      </c>
      <c r="M44" s="28" t="n">
        <f aca="false">IF(A44=0,-L44,H44-I44-J44-K44)</f>
        <v>39502.2</v>
      </c>
      <c r="N44" s="28" t="n">
        <f aca="false">N43+M44</f>
        <v>43055.8000000005</v>
      </c>
      <c r="O44" s="29" t="n">
        <f aca="false">1/(1+Supuestos!$C$46)^A44</f>
        <v>0.739474434041898</v>
      </c>
      <c r="P44" s="28" t="n">
        <f aca="false">M44*O44</f>
        <v>29210.8669884099</v>
      </c>
      <c r="Q44" s="28" t="n">
        <f aca="false">Q43+P44</f>
        <v>-99378.9609344175</v>
      </c>
      <c r="R44" s="30" t="n">
        <f aca="false">IF(AND(A44&gt;0,N44&gt;=0),1,0)</f>
        <v>1</v>
      </c>
      <c r="S44" s="30" t="n">
        <f aca="false">IF(AND(A44&gt;0,Q44&gt;=0),1,0)</f>
        <v>0</v>
      </c>
    </row>
    <row r="45" customFormat="false" ht="15" hidden="false" customHeight="false" outlineLevel="0" collapsed="false">
      <c r="A45" s="4" t="n">
        <v>39</v>
      </c>
      <c r="B45" s="31" t="n">
        <f aca="false">IF(A45=0,0,IF(A45&lt;=Supuestos!$C$24,Supuestos!$C$22,IF(A45&gt;=Supuestos!$D$8,$V$7,Supuestos!$C$22+($V$7-Supuestos!$C$22)*(A45-Supuestos!$C$24)/(Supuestos!$D$8-Supuestos!$C$24))))</f>
        <v>188.3</v>
      </c>
      <c r="C45" s="31" t="n">
        <f aca="false">B45*Supuestos!$D$6</f>
        <v>1506.4</v>
      </c>
      <c r="D45" s="32" t="n">
        <f aca="false">C45*Supuestos!$C$42</f>
        <v>6527.73333333333</v>
      </c>
      <c r="E45" s="32" t="n">
        <f aca="false">IF(A45=0,0,MAX(Supuestos!$C$23,ROUNDUP(C45/Supuestos!$C$18,0)))</f>
        <v>51</v>
      </c>
      <c r="F45" s="31" t="n">
        <f aca="false">MAX(0,E45-IF(A44=0,Supuestos!$C$23,E44))+Supuestos!$C$19*E45</f>
        <v>1.53</v>
      </c>
      <c r="G45" s="32" t="n">
        <f aca="false">IF(A45=0,0,MAX(1,ROUNDUP(B45/Supuestos!$C$21,0)))</f>
        <v>3</v>
      </c>
      <c r="H45" s="33" t="n">
        <f aca="false">D45*(Supuestos!$C$14+Supuestos!$D$7)</f>
        <v>652773.333333333</v>
      </c>
      <c r="I45" s="33" t="n">
        <f aca="false">D45*Supuestos!$C$43</f>
        <v>486316.133333333</v>
      </c>
      <c r="J45" s="33" t="n">
        <f aca="false">IF(A45=0,0,Supuestos!$C$44+G45*Supuestos!$C$26)</f>
        <v>121600</v>
      </c>
      <c r="K45" s="21" t="n">
        <f aca="false">F45*Supuestos!$C$20</f>
        <v>5355</v>
      </c>
      <c r="L45" s="33" t="n">
        <f aca="false">IF(A45=0,Supuestos!$C$45,0)</f>
        <v>0</v>
      </c>
      <c r="M45" s="21" t="n">
        <f aca="false">IF(A45=0,-L45,H45-I45-J45-K45)</f>
        <v>39502.2</v>
      </c>
      <c r="N45" s="21" t="n">
        <f aca="false">N44+M45</f>
        <v>82558.0000000005</v>
      </c>
      <c r="O45" s="34" t="n">
        <f aca="false">1/(1+Supuestos!$C$46)^A45</f>
        <v>0.733624409974688</v>
      </c>
      <c r="P45" s="21" t="n">
        <f aca="false">M45*O45</f>
        <v>28979.7781677021</v>
      </c>
      <c r="Q45" s="21" t="n">
        <f aca="false">Q44+P45</f>
        <v>-70399.1827667154</v>
      </c>
      <c r="R45" s="35" t="n">
        <f aca="false">IF(AND(A45&gt;0,N45&gt;=0),1,0)</f>
        <v>1</v>
      </c>
      <c r="S45" s="35" t="n">
        <f aca="false">IF(AND(A45&gt;0,Q45&gt;=0),1,0)</f>
        <v>0</v>
      </c>
    </row>
    <row r="46" customFormat="false" ht="15" hidden="false" customHeight="false" outlineLevel="0" collapsed="false">
      <c r="A46" s="24" t="n">
        <v>40</v>
      </c>
      <c r="B46" s="25" t="n">
        <f aca="false">IF(A46=0,0,IF(A46&lt;=Supuestos!$C$24,Supuestos!$C$22,IF(A46&gt;=Supuestos!$D$8,$V$7,Supuestos!$C$22+($V$7-Supuestos!$C$22)*(A46-Supuestos!$C$24)/(Supuestos!$D$8-Supuestos!$C$24))))</f>
        <v>188.3</v>
      </c>
      <c r="C46" s="25" t="n">
        <f aca="false">B46*Supuestos!$D$6</f>
        <v>1506.4</v>
      </c>
      <c r="D46" s="26" t="n">
        <f aca="false">C46*Supuestos!$C$42</f>
        <v>6527.73333333333</v>
      </c>
      <c r="E46" s="26" t="n">
        <f aca="false">IF(A46=0,0,MAX(Supuestos!$C$23,ROUNDUP(C46/Supuestos!$C$18,0)))</f>
        <v>51</v>
      </c>
      <c r="F46" s="25" t="n">
        <f aca="false">MAX(0,E46-IF(A45=0,Supuestos!$C$23,E45))+Supuestos!$C$19*E46</f>
        <v>1.53</v>
      </c>
      <c r="G46" s="26" t="n">
        <f aca="false">IF(A46=0,0,MAX(1,ROUNDUP(B46/Supuestos!$C$21,0)))</f>
        <v>3</v>
      </c>
      <c r="H46" s="27" t="n">
        <f aca="false">D46*(Supuestos!$C$14+Supuestos!$D$7)</f>
        <v>652773.333333333</v>
      </c>
      <c r="I46" s="27" t="n">
        <f aca="false">D46*Supuestos!$C$43</f>
        <v>486316.133333333</v>
      </c>
      <c r="J46" s="27" t="n">
        <f aca="false">IF(A46=0,0,Supuestos!$C$44+G46*Supuestos!$C$26)</f>
        <v>121600</v>
      </c>
      <c r="K46" s="28" t="n">
        <f aca="false">F46*Supuestos!$C$20</f>
        <v>5355</v>
      </c>
      <c r="L46" s="27" t="n">
        <f aca="false">IF(A46=0,Supuestos!$C$45,0)</f>
        <v>0</v>
      </c>
      <c r="M46" s="28" t="n">
        <f aca="false">IF(A46=0,-L46,H46-I46-J46-K46)</f>
        <v>39502.2</v>
      </c>
      <c r="N46" s="28" t="n">
        <f aca="false">N45+M46</f>
        <v>122060.2</v>
      </c>
      <c r="O46" s="29" t="n">
        <f aca="false">1/(1+Supuestos!$C$46)^A46</f>
        <v>0.72782066577871</v>
      </c>
      <c r="P46" s="28" t="n">
        <f aca="false">M46*O46</f>
        <v>28750.5175037238</v>
      </c>
      <c r="Q46" s="28" t="n">
        <f aca="false">Q45+P46</f>
        <v>-41648.6652629916</v>
      </c>
      <c r="R46" s="30" t="n">
        <f aca="false">IF(AND(A46&gt;0,N46&gt;=0),1,0)</f>
        <v>1</v>
      </c>
      <c r="S46" s="30" t="n">
        <f aca="false">IF(AND(A46&gt;0,Q46&gt;=0),1,0)</f>
        <v>0</v>
      </c>
    </row>
    <row r="47" customFormat="false" ht="15" hidden="false" customHeight="false" outlineLevel="0" collapsed="false">
      <c r="A47" s="4" t="n">
        <v>41</v>
      </c>
      <c r="B47" s="31" t="n">
        <f aca="false">IF(A47=0,0,IF(A47&lt;=Supuestos!$C$24,Supuestos!$C$22,IF(A47&gt;=Supuestos!$D$8,$V$7,Supuestos!$C$22+($V$7-Supuestos!$C$22)*(A47-Supuestos!$C$24)/(Supuestos!$D$8-Supuestos!$C$24))))</f>
        <v>188.3</v>
      </c>
      <c r="C47" s="31" t="n">
        <f aca="false">B47*Supuestos!$D$6</f>
        <v>1506.4</v>
      </c>
      <c r="D47" s="32" t="n">
        <f aca="false">C47*Supuestos!$C$42</f>
        <v>6527.73333333333</v>
      </c>
      <c r="E47" s="32" t="n">
        <f aca="false">IF(A47=0,0,MAX(Supuestos!$C$23,ROUNDUP(C47/Supuestos!$C$18,0)))</f>
        <v>51</v>
      </c>
      <c r="F47" s="31" t="n">
        <f aca="false">MAX(0,E47-IF(A46=0,Supuestos!$C$23,E46))+Supuestos!$C$19*E47</f>
        <v>1.53</v>
      </c>
      <c r="G47" s="32" t="n">
        <f aca="false">IF(A47=0,0,MAX(1,ROUNDUP(B47/Supuestos!$C$21,0)))</f>
        <v>3</v>
      </c>
      <c r="H47" s="33" t="n">
        <f aca="false">D47*(Supuestos!$C$14+Supuestos!$D$7)</f>
        <v>652773.333333333</v>
      </c>
      <c r="I47" s="33" t="n">
        <f aca="false">D47*Supuestos!$C$43</f>
        <v>486316.133333333</v>
      </c>
      <c r="J47" s="33" t="n">
        <f aca="false">IF(A47=0,0,Supuestos!$C$44+G47*Supuestos!$C$26)</f>
        <v>121600</v>
      </c>
      <c r="K47" s="21" t="n">
        <f aca="false">F47*Supuestos!$C$20</f>
        <v>5355</v>
      </c>
      <c r="L47" s="33" t="n">
        <f aca="false">IF(A47=0,Supuestos!$C$45,0)</f>
        <v>0</v>
      </c>
      <c r="M47" s="21" t="n">
        <f aca="false">IF(A47=0,-L47,H47-I47-J47-K47)</f>
        <v>39502.2</v>
      </c>
      <c r="N47" s="21" t="n">
        <f aca="false">N46+M47</f>
        <v>161562.400000001</v>
      </c>
      <c r="O47" s="34" t="n">
        <f aca="false">1/(1+Supuestos!$C$46)^A47</f>
        <v>0.722062835331286</v>
      </c>
      <c r="P47" s="21" t="n">
        <f aca="false">M47*O47</f>
        <v>28523.0705338235</v>
      </c>
      <c r="Q47" s="21" t="n">
        <f aca="false">Q46+P47</f>
        <v>-13125.5947291681</v>
      </c>
      <c r="R47" s="35" t="n">
        <f aca="false">IF(AND(A47&gt;0,N47&gt;=0),1,0)</f>
        <v>1</v>
      </c>
      <c r="S47" s="35" t="n">
        <f aca="false">IF(AND(A47&gt;0,Q47&gt;=0),1,0)</f>
        <v>0</v>
      </c>
    </row>
    <row r="48" customFormat="false" ht="15" hidden="false" customHeight="false" outlineLevel="0" collapsed="false">
      <c r="A48" s="24" t="n">
        <v>42</v>
      </c>
      <c r="B48" s="25" t="n">
        <f aca="false">IF(A48=0,0,IF(A48&lt;=Supuestos!$C$24,Supuestos!$C$22,IF(A48&gt;=Supuestos!$D$8,$V$7,Supuestos!$C$22+($V$7-Supuestos!$C$22)*(A48-Supuestos!$C$24)/(Supuestos!$D$8-Supuestos!$C$24))))</f>
        <v>188.3</v>
      </c>
      <c r="C48" s="25" t="n">
        <f aca="false">B48*Supuestos!$D$6</f>
        <v>1506.4</v>
      </c>
      <c r="D48" s="26" t="n">
        <f aca="false">C48*Supuestos!$C$42</f>
        <v>6527.73333333333</v>
      </c>
      <c r="E48" s="26" t="n">
        <f aca="false">IF(A48=0,0,MAX(Supuestos!$C$23,ROUNDUP(C48/Supuestos!$C$18,0)))</f>
        <v>51</v>
      </c>
      <c r="F48" s="25" t="n">
        <f aca="false">MAX(0,E48-IF(A47=0,Supuestos!$C$23,E47))+Supuestos!$C$19*E48</f>
        <v>1.53</v>
      </c>
      <c r="G48" s="26" t="n">
        <f aca="false">IF(A48=0,0,MAX(1,ROUNDUP(B48/Supuestos!$C$21,0)))</f>
        <v>3</v>
      </c>
      <c r="H48" s="27" t="n">
        <f aca="false">D48*(Supuestos!$C$14+Supuestos!$D$7)</f>
        <v>652773.333333333</v>
      </c>
      <c r="I48" s="27" t="n">
        <f aca="false">D48*Supuestos!$C$43</f>
        <v>486316.133333333</v>
      </c>
      <c r="J48" s="27" t="n">
        <f aca="false">IF(A48=0,0,Supuestos!$C$44+G48*Supuestos!$C$26)</f>
        <v>121600</v>
      </c>
      <c r="K48" s="28" t="n">
        <f aca="false">F48*Supuestos!$C$20</f>
        <v>5355</v>
      </c>
      <c r="L48" s="27" t="n">
        <f aca="false">IF(A48=0,Supuestos!$C$45,0)</f>
        <v>0</v>
      </c>
      <c r="M48" s="28" t="n">
        <f aca="false">IF(A48=0,-L48,H48-I48-J48-K48)</f>
        <v>39502.2</v>
      </c>
      <c r="N48" s="28" t="n">
        <f aca="false">N47+M48</f>
        <v>201064.600000001</v>
      </c>
      <c r="O48" s="29" t="n">
        <f aca="false">1/(1+Supuestos!$C$46)^A48</f>
        <v>0.716350555406154</v>
      </c>
      <c r="P48" s="28" t="n">
        <f aca="false">M48*O48</f>
        <v>28297.422909765</v>
      </c>
      <c r="Q48" s="28" t="n">
        <f aca="false">Q47+P48</f>
        <v>15171.828180597</v>
      </c>
      <c r="R48" s="30" t="n">
        <f aca="false">IF(AND(A48&gt;0,N48&gt;=0),1,0)</f>
        <v>1</v>
      </c>
      <c r="S48" s="30" t="n">
        <f aca="false">IF(AND(A48&gt;0,Q48&gt;=0),1,0)</f>
        <v>1</v>
      </c>
    </row>
    <row r="49" customFormat="false" ht="15" hidden="false" customHeight="false" outlineLevel="0" collapsed="false">
      <c r="A49" s="4" t="n">
        <v>43</v>
      </c>
      <c r="B49" s="31" t="n">
        <f aca="false">IF(A49=0,0,IF(A49&lt;=Supuestos!$C$24,Supuestos!$C$22,IF(A49&gt;=Supuestos!$D$8,$V$7,Supuestos!$C$22+($V$7-Supuestos!$C$22)*(A49-Supuestos!$C$24)/(Supuestos!$D$8-Supuestos!$C$24))))</f>
        <v>188.3</v>
      </c>
      <c r="C49" s="31" t="n">
        <f aca="false">B49*Supuestos!$D$6</f>
        <v>1506.4</v>
      </c>
      <c r="D49" s="32" t="n">
        <f aca="false">C49*Supuestos!$C$42</f>
        <v>6527.73333333333</v>
      </c>
      <c r="E49" s="32" t="n">
        <f aca="false">IF(A49=0,0,MAX(Supuestos!$C$23,ROUNDUP(C49/Supuestos!$C$18,0)))</f>
        <v>51</v>
      </c>
      <c r="F49" s="31" t="n">
        <f aca="false">MAX(0,E49-IF(A48=0,Supuestos!$C$23,E48))+Supuestos!$C$19*E49</f>
        <v>1.53</v>
      </c>
      <c r="G49" s="32" t="n">
        <f aca="false">IF(A49=0,0,MAX(1,ROUNDUP(B49/Supuestos!$C$21,0)))</f>
        <v>3</v>
      </c>
      <c r="H49" s="33" t="n">
        <f aca="false">D49*(Supuestos!$C$14+Supuestos!$D$7)</f>
        <v>652773.333333333</v>
      </c>
      <c r="I49" s="33" t="n">
        <f aca="false">D49*Supuestos!$C$43</f>
        <v>486316.133333333</v>
      </c>
      <c r="J49" s="33" t="n">
        <f aca="false">IF(A49=0,0,Supuestos!$C$44+G49*Supuestos!$C$26)</f>
        <v>121600</v>
      </c>
      <c r="K49" s="21" t="n">
        <f aca="false">F49*Supuestos!$C$20</f>
        <v>5355</v>
      </c>
      <c r="L49" s="33" t="n">
        <f aca="false">IF(A49=0,Supuestos!$C$45,0)</f>
        <v>0</v>
      </c>
      <c r="M49" s="21" t="n">
        <f aca="false">IF(A49=0,-L49,H49-I49-J49-K49)</f>
        <v>39502.2</v>
      </c>
      <c r="N49" s="21" t="n">
        <f aca="false">N48+M49</f>
        <v>240566.800000001</v>
      </c>
      <c r="O49" s="34" t="n">
        <f aca="false">1/(1+Supuestos!$C$46)^A49</f>
        <v>0.710683465650557</v>
      </c>
      <c r="P49" s="21" t="n">
        <f aca="false">M49*O49</f>
        <v>28073.5603968214</v>
      </c>
      <c r="Q49" s="21" t="n">
        <f aca="false">Q48+P49</f>
        <v>43245.3885774184</v>
      </c>
      <c r="R49" s="35" t="n">
        <f aca="false">IF(AND(A49&gt;0,N49&gt;=0),1,0)</f>
        <v>1</v>
      </c>
      <c r="S49" s="35" t="n">
        <f aca="false">IF(AND(A49&gt;0,Q49&gt;=0),1,0)</f>
        <v>1</v>
      </c>
    </row>
    <row r="50" customFormat="false" ht="15" hidden="false" customHeight="false" outlineLevel="0" collapsed="false">
      <c r="A50" s="24" t="n">
        <v>44</v>
      </c>
      <c r="B50" s="25" t="n">
        <f aca="false">IF(A50=0,0,IF(A50&lt;=Supuestos!$C$24,Supuestos!$C$22,IF(A50&gt;=Supuestos!$D$8,$V$7,Supuestos!$C$22+($V$7-Supuestos!$C$22)*(A50-Supuestos!$C$24)/(Supuestos!$D$8-Supuestos!$C$24))))</f>
        <v>188.3</v>
      </c>
      <c r="C50" s="25" t="n">
        <f aca="false">B50*Supuestos!$D$6</f>
        <v>1506.4</v>
      </c>
      <c r="D50" s="26" t="n">
        <f aca="false">C50*Supuestos!$C$42</f>
        <v>6527.73333333333</v>
      </c>
      <c r="E50" s="26" t="n">
        <f aca="false">IF(A50=0,0,MAX(Supuestos!$C$23,ROUNDUP(C50/Supuestos!$C$18,0)))</f>
        <v>51</v>
      </c>
      <c r="F50" s="25" t="n">
        <f aca="false">MAX(0,E50-IF(A49=0,Supuestos!$C$23,E49))+Supuestos!$C$19*E50</f>
        <v>1.53</v>
      </c>
      <c r="G50" s="26" t="n">
        <f aca="false">IF(A50=0,0,MAX(1,ROUNDUP(B50/Supuestos!$C$21,0)))</f>
        <v>3</v>
      </c>
      <c r="H50" s="27" t="n">
        <f aca="false">D50*(Supuestos!$C$14+Supuestos!$D$7)</f>
        <v>652773.333333333</v>
      </c>
      <c r="I50" s="27" t="n">
        <f aca="false">D50*Supuestos!$C$43</f>
        <v>486316.133333333</v>
      </c>
      <c r="J50" s="27" t="n">
        <f aca="false">IF(A50=0,0,Supuestos!$C$44+G50*Supuestos!$C$26)</f>
        <v>121600</v>
      </c>
      <c r="K50" s="28" t="n">
        <f aca="false">F50*Supuestos!$C$20</f>
        <v>5355</v>
      </c>
      <c r="L50" s="27" t="n">
        <f aca="false">IF(A50=0,Supuestos!$C$45,0)</f>
        <v>0</v>
      </c>
      <c r="M50" s="28" t="n">
        <f aca="false">IF(A50=0,-L50,H50-I50-J50-K50)</f>
        <v>39502.2</v>
      </c>
      <c r="N50" s="28" t="n">
        <f aca="false">N49+M50</f>
        <v>280069.000000001</v>
      </c>
      <c r="O50" s="29" t="n">
        <f aca="false">1/(1+Supuestos!$C$46)^A50</f>
        <v>0.705061208562507</v>
      </c>
      <c r="P50" s="28" t="n">
        <f aca="false">M50*O50</f>
        <v>27851.4688728779</v>
      </c>
      <c r="Q50" s="28" t="n">
        <f aca="false">Q49+P50</f>
        <v>71096.8574502962</v>
      </c>
      <c r="R50" s="30" t="n">
        <f aca="false">IF(AND(A50&gt;0,N50&gt;=0),1,0)</f>
        <v>1</v>
      </c>
      <c r="S50" s="30" t="n">
        <f aca="false">IF(AND(A50&gt;0,Q50&gt;=0),1,0)</f>
        <v>1</v>
      </c>
    </row>
    <row r="51" customFormat="false" ht="15" hidden="false" customHeight="false" outlineLevel="0" collapsed="false">
      <c r="A51" s="4" t="n">
        <v>45</v>
      </c>
      <c r="B51" s="31" t="n">
        <f aca="false">IF(A51=0,0,IF(A51&lt;=Supuestos!$C$24,Supuestos!$C$22,IF(A51&gt;=Supuestos!$D$8,$V$7,Supuestos!$C$22+($V$7-Supuestos!$C$22)*(A51-Supuestos!$C$24)/(Supuestos!$D$8-Supuestos!$C$24))))</f>
        <v>188.3</v>
      </c>
      <c r="C51" s="31" t="n">
        <f aca="false">B51*Supuestos!$D$6</f>
        <v>1506.4</v>
      </c>
      <c r="D51" s="32" t="n">
        <f aca="false">C51*Supuestos!$C$42</f>
        <v>6527.73333333333</v>
      </c>
      <c r="E51" s="32" t="n">
        <f aca="false">IF(A51=0,0,MAX(Supuestos!$C$23,ROUNDUP(C51/Supuestos!$C$18,0)))</f>
        <v>51</v>
      </c>
      <c r="F51" s="31" t="n">
        <f aca="false">MAX(0,E51-IF(A50=0,Supuestos!$C$23,E50))+Supuestos!$C$19*E51</f>
        <v>1.53</v>
      </c>
      <c r="G51" s="32" t="n">
        <f aca="false">IF(A51=0,0,MAX(1,ROUNDUP(B51/Supuestos!$C$21,0)))</f>
        <v>3</v>
      </c>
      <c r="H51" s="33" t="n">
        <f aca="false">D51*(Supuestos!$C$14+Supuestos!$D$7)</f>
        <v>652773.333333333</v>
      </c>
      <c r="I51" s="33" t="n">
        <f aca="false">D51*Supuestos!$C$43</f>
        <v>486316.133333333</v>
      </c>
      <c r="J51" s="33" t="n">
        <f aca="false">IF(A51=0,0,Supuestos!$C$44+G51*Supuestos!$C$26)</f>
        <v>121600</v>
      </c>
      <c r="K51" s="21" t="n">
        <f aca="false">F51*Supuestos!$C$20</f>
        <v>5355</v>
      </c>
      <c r="L51" s="33" t="n">
        <f aca="false">IF(A51=0,Supuestos!$C$45,0)</f>
        <v>0</v>
      </c>
      <c r="M51" s="21" t="n">
        <f aca="false">IF(A51=0,-L51,H51-I51-J51-K51)</f>
        <v>39502.2</v>
      </c>
      <c r="N51" s="21" t="n">
        <f aca="false">N50+M51</f>
        <v>319571.200000001</v>
      </c>
      <c r="O51" s="34" t="n">
        <f aca="false">1/(1+Supuestos!$C$46)^A51</f>
        <v>0.699483429468236</v>
      </c>
      <c r="P51" s="21" t="n">
        <f aca="false">M51*O51</f>
        <v>27631.1343275402</v>
      </c>
      <c r="Q51" s="21" t="n">
        <f aca="false">Q50+P51</f>
        <v>98727.9917778364</v>
      </c>
      <c r="R51" s="35" t="n">
        <f aca="false">IF(AND(A51&gt;0,N51&gt;=0),1,0)</f>
        <v>1</v>
      </c>
      <c r="S51" s="35" t="n">
        <f aca="false">IF(AND(A51&gt;0,Q51&gt;=0),1,0)</f>
        <v>1</v>
      </c>
    </row>
    <row r="52" customFormat="false" ht="15" hidden="false" customHeight="false" outlineLevel="0" collapsed="false">
      <c r="A52" s="24" t="n">
        <v>46</v>
      </c>
      <c r="B52" s="25" t="n">
        <f aca="false">IF(A52=0,0,IF(A52&lt;=Supuestos!$C$24,Supuestos!$C$22,IF(A52&gt;=Supuestos!$D$8,$V$7,Supuestos!$C$22+($V$7-Supuestos!$C$22)*(A52-Supuestos!$C$24)/(Supuestos!$D$8-Supuestos!$C$24))))</f>
        <v>188.3</v>
      </c>
      <c r="C52" s="25" t="n">
        <f aca="false">B52*Supuestos!$D$6</f>
        <v>1506.4</v>
      </c>
      <c r="D52" s="26" t="n">
        <f aca="false">C52*Supuestos!$C$42</f>
        <v>6527.73333333333</v>
      </c>
      <c r="E52" s="26" t="n">
        <f aca="false">IF(A52=0,0,MAX(Supuestos!$C$23,ROUNDUP(C52/Supuestos!$C$18,0)))</f>
        <v>51</v>
      </c>
      <c r="F52" s="25" t="n">
        <f aca="false">MAX(0,E52-IF(A51=0,Supuestos!$C$23,E51))+Supuestos!$C$19*E52</f>
        <v>1.53</v>
      </c>
      <c r="G52" s="26" t="n">
        <f aca="false">IF(A52=0,0,MAX(1,ROUNDUP(B52/Supuestos!$C$21,0)))</f>
        <v>3</v>
      </c>
      <c r="H52" s="27" t="n">
        <f aca="false">D52*(Supuestos!$C$14+Supuestos!$D$7)</f>
        <v>652773.333333333</v>
      </c>
      <c r="I52" s="27" t="n">
        <f aca="false">D52*Supuestos!$C$43</f>
        <v>486316.133333333</v>
      </c>
      <c r="J52" s="27" t="n">
        <f aca="false">IF(A52=0,0,Supuestos!$C$44+G52*Supuestos!$C$26)</f>
        <v>121600</v>
      </c>
      <c r="K52" s="28" t="n">
        <f aca="false">F52*Supuestos!$C$20</f>
        <v>5355</v>
      </c>
      <c r="L52" s="27" t="n">
        <f aca="false">IF(A52=0,Supuestos!$C$45,0)</f>
        <v>0</v>
      </c>
      <c r="M52" s="28" t="n">
        <f aca="false">IF(A52=0,-L52,H52-I52-J52-K52)</f>
        <v>39502.2</v>
      </c>
      <c r="N52" s="28" t="n">
        <f aca="false">N51+M52</f>
        <v>359073.400000001</v>
      </c>
      <c r="O52" s="29" t="n">
        <f aca="false">1/(1+Supuestos!$C$46)^A52</f>
        <v>0.69394977649982</v>
      </c>
      <c r="P52" s="28" t="n">
        <f aca="false">M52*O52</f>
        <v>27412.5428612512</v>
      </c>
      <c r="Q52" s="28" t="n">
        <f aca="false">Q51+P52</f>
        <v>126140.534639088</v>
      </c>
      <c r="R52" s="30" t="n">
        <f aca="false">IF(AND(A52&gt;0,N52&gt;=0),1,0)</f>
        <v>1</v>
      </c>
      <c r="S52" s="30" t="n">
        <f aca="false">IF(AND(A52&gt;0,Q52&gt;=0),1,0)</f>
        <v>1</v>
      </c>
    </row>
    <row r="53" customFormat="false" ht="15" hidden="false" customHeight="false" outlineLevel="0" collapsed="false">
      <c r="A53" s="4" t="n">
        <v>47</v>
      </c>
      <c r="B53" s="31" t="n">
        <f aca="false">IF(A53=0,0,IF(A53&lt;=Supuestos!$C$24,Supuestos!$C$22,IF(A53&gt;=Supuestos!$D$8,$V$7,Supuestos!$C$22+($V$7-Supuestos!$C$22)*(A53-Supuestos!$C$24)/(Supuestos!$D$8-Supuestos!$C$24))))</f>
        <v>188.3</v>
      </c>
      <c r="C53" s="31" t="n">
        <f aca="false">B53*Supuestos!$D$6</f>
        <v>1506.4</v>
      </c>
      <c r="D53" s="32" t="n">
        <f aca="false">C53*Supuestos!$C$42</f>
        <v>6527.73333333333</v>
      </c>
      <c r="E53" s="32" t="n">
        <f aca="false">IF(A53=0,0,MAX(Supuestos!$C$23,ROUNDUP(C53/Supuestos!$C$18,0)))</f>
        <v>51</v>
      </c>
      <c r="F53" s="31" t="n">
        <f aca="false">MAX(0,E53-IF(A52=0,Supuestos!$C$23,E52))+Supuestos!$C$19*E53</f>
        <v>1.53</v>
      </c>
      <c r="G53" s="32" t="n">
        <f aca="false">IF(A53=0,0,MAX(1,ROUNDUP(B53/Supuestos!$C$21,0)))</f>
        <v>3</v>
      </c>
      <c r="H53" s="33" t="n">
        <f aca="false">D53*(Supuestos!$C$14+Supuestos!$D$7)</f>
        <v>652773.333333333</v>
      </c>
      <c r="I53" s="33" t="n">
        <f aca="false">D53*Supuestos!$C$43</f>
        <v>486316.133333333</v>
      </c>
      <c r="J53" s="33" t="n">
        <f aca="false">IF(A53=0,0,Supuestos!$C$44+G53*Supuestos!$C$26)</f>
        <v>121600</v>
      </c>
      <c r="K53" s="21" t="n">
        <f aca="false">F53*Supuestos!$C$20</f>
        <v>5355</v>
      </c>
      <c r="L53" s="33" t="n">
        <f aca="false">IF(A53=0,Supuestos!$C$45,0)</f>
        <v>0</v>
      </c>
      <c r="M53" s="21" t="n">
        <f aca="false">IF(A53=0,-L53,H53-I53-J53-K53)</f>
        <v>39502.2</v>
      </c>
      <c r="N53" s="21" t="n">
        <f aca="false">N52+M53</f>
        <v>398575.600000001</v>
      </c>
      <c r="O53" s="34" t="n">
        <f aca="false">1/(1+Supuestos!$C$46)^A53</f>
        <v>0.688459900572982</v>
      </c>
      <c r="P53" s="21" t="n">
        <f aca="false">M53*O53</f>
        <v>27195.6806844141</v>
      </c>
      <c r="Q53" s="21" t="n">
        <f aca="false">Q52+P53</f>
        <v>153336.215323502</v>
      </c>
      <c r="R53" s="35" t="n">
        <f aca="false">IF(AND(A53&gt;0,N53&gt;=0),1,0)</f>
        <v>1</v>
      </c>
      <c r="S53" s="35" t="n">
        <f aca="false">IF(AND(A53&gt;0,Q53&gt;=0),1,0)</f>
        <v>1</v>
      </c>
    </row>
    <row r="54" customFormat="false" ht="15" hidden="false" customHeight="false" outlineLevel="0" collapsed="false">
      <c r="A54" s="24" t="n">
        <v>48</v>
      </c>
      <c r="B54" s="25" t="n">
        <f aca="false">IF(A54=0,0,IF(A54&lt;=Supuestos!$C$24,Supuestos!$C$22,IF(A54&gt;=Supuestos!$D$8,$V$7,Supuestos!$C$22+($V$7-Supuestos!$C$22)*(A54-Supuestos!$C$24)/(Supuestos!$D$8-Supuestos!$C$24))))</f>
        <v>188.3</v>
      </c>
      <c r="C54" s="25" t="n">
        <f aca="false">B54*Supuestos!$D$6</f>
        <v>1506.4</v>
      </c>
      <c r="D54" s="26" t="n">
        <f aca="false">C54*Supuestos!$C$42</f>
        <v>6527.73333333333</v>
      </c>
      <c r="E54" s="26" t="n">
        <f aca="false">IF(A54=0,0,MAX(Supuestos!$C$23,ROUNDUP(C54/Supuestos!$C$18,0)))</f>
        <v>51</v>
      </c>
      <c r="F54" s="25" t="n">
        <f aca="false">MAX(0,E54-IF(A53=0,Supuestos!$C$23,E53))+Supuestos!$C$19*E54</f>
        <v>1.53</v>
      </c>
      <c r="G54" s="26" t="n">
        <f aca="false">IF(A54=0,0,MAX(1,ROUNDUP(B54/Supuestos!$C$21,0)))</f>
        <v>3</v>
      </c>
      <c r="H54" s="27" t="n">
        <f aca="false">D54*(Supuestos!$C$14+Supuestos!$D$7)</f>
        <v>652773.333333333</v>
      </c>
      <c r="I54" s="27" t="n">
        <f aca="false">D54*Supuestos!$C$43</f>
        <v>486316.133333333</v>
      </c>
      <c r="J54" s="27" t="n">
        <f aca="false">IF(A54=0,0,Supuestos!$C$44+G54*Supuestos!$C$26)</f>
        <v>121600</v>
      </c>
      <c r="K54" s="28" t="n">
        <f aca="false">F54*Supuestos!$C$20</f>
        <v>5355</v>
      </c>
      <c r="L54" s="27" t="n">
        <f aca="false">IF(A54=0,Supuestos!$C$45,0)</f>
        <v>0</v>
      </c>
      <c r="M54" s="28" t="n">
        <f aca="false">IF(A54=0,-L54,H54-I54-J54-K54)</f>
        <v>39502.2</v>
      </c>
      <c r="N54" s="28" t="n">
        <f aca="false">N53+M54</f>
        <v>438077.800000001</v>
      </c>
      <c r="O54" s="29" t="n">
        <f aca="false">1/(1+Supuestos!$C$46)^A54</f>
        <v>0.68301345536507</v>
      </c>
      <c r="P54" s="28" t="n">
        <f aca="false">M54*O54</f>
        <v>26980.5341165221</v>
      </c>
      <c r="Q54" s="28" t="n">
        <f aca="false">Q53+P54</f>
        <v>180316.749440024</v>
      </c>
      <c r="R54" s="30" t="n">
        <f aca="false">IF(AND(A54&gt;0,N54&gt;=0),1,0)</f>
        <v>1</v>
      </c>
      <c r="S54" s="30" t="n">
        <f aca="false">IF(AND(A54&gt;0,Q54&gt;=0),1,0)</f>
        <v>1</v>
      </c>
    </row>
    <row r="55" customFormat="false" ht="15" hidden="false" customHeight="false" outlineLevel="0" collapsed="false">
      <c r="A55" s="4" t="n">
        <v>49</v>
      </c>
      <c r="B55" s="31" t="n">
        <f aca="false">IF(A55=0,0,IF(A55&lt;=Supuestos!$C$24,Supuestos!$C$22,IF(A55&gt;=Supuestos!$D$8,$V$7,Supuestos!$C$22+($V$7-Supuestos!$C$22)*(A55-Supuestos!$C$24)/(Supuestos!$D$8-Supuestos!$C$24))))</f>
        <v>188.3</v>
      </c>
      <c r="C55" s="31" t="n">
        <f aca="false">B55*Supuestos!$D$6</f>
        <v>1506.4</v>
      </c>
      <c r="D55" s="32" t="n">
        <f aca="false">C55*Supuestos!$C$42</f>
        <v>6527.73333333333</v>
      </c>
      <c r="E55" s="32" t="n">
        <f aca="false">IF(A55=0,0,MAX(Supuestos!$C$23,ROUNDUP(C55/Supuestos!$C$18,0)))</f>
        <v>51</v>
      </c>
      <c r="F55" s="31" t="n">
        <f aca="false">MAX(0,E55-IF(A54=0,Supuestos!$C$23,E54))+Supuestos!$C$19*E55</f>
        <v>1.53</v>
      </c>
      <c r="G55" s="32" t="n">
        <f aca="false">IF(A55=0,0,MAX(1,ROUNDUP(B55/Supuestos!$C$21,0)))</f>
        <v>3</v>
      </c>
      <c r="H55" s="33" t="n">
        <f aca="false">D55*(Supuestos!$C$14+Supuestos!$D$7)</f>
        <v>652773.333333333</v>
      </c>
      <c r="I55" s="33" t="n">
        <f aca="false">D55*Supuestos!$C$43</f>
        <v>486316.133333333</v>
      </c>
      <c r="J55" s="33" t="n">
        <f aca="false">IF(A55=0,0,Supuestos!$C$44+G55*Supuestos!$C$26)</f>
        <v>121600</v>
      </c>
      <c r="K55" s="21" t="n">
        <f aca="false">F55*Supuestos!$C$20</f>
        <v>5355</v>
      </c>
      <c r="L55" s="33" t="n">
        <f aca="false">IF(A55=0,Supuestos!$C$45,0)</f>
        <v>0</v>
      </c>
      <c r="M55" s="21" t="n">
        <f aca="false">IF(A55=0,-L55,H55-I55-J55-K55)</f>
        <v>39502.2</v>
      </c>
      <c r="N55" s="21" t="n">
        <f aca="false">N54+M55</f>
        <v>477580.000000001</v>
      </c>
      <c r="O55" s="34" t="n">
        <f aca="false">1/(1+Supuestos!$C$46)^A55</f>
        <v>0.677610097293211</v>
      </c>
      <c r="P55" s="21" t="n">
        <f aca="false">M55*O55</f>
        <v>26767.0895852959</v>
      </c>
      <c r="Q55" s="21" t="n">
        <f aca="false">Q54+P55</f>
        <v>207083.83902532</v>
      </c>
      <c r="R55" s="35" t="n">
        <f aca="false">IF(AND(A55&gt;0,N55&gt;=0),1,0)</f>
        <v>1</v>
      </c>
      <c r="S55" s="35" t="n">
        <f aca="false">IF(AND(A55&gt;0,Q55&gt;=0),1,0)</f>
        <v>1</v>
      </c>
    </row>
    <row r="56" customFormat="false" ht="15" hidden="false" customHeight="false" outlineLevel="0" collapsed="false">
      <c r="A56" s="24" t="n">
        <v>50</v>
      </c>
      <c r="B56" s="25" t="n">
        <f aca="false">IF(A56=0,0,IF(A56&lt;=Supuestos!$C$24,Supuestos!$C$22,IF(A56&gt;=Supuestos!$D$8,$V$7,Supuestos!$C$22+($V$7-Supuestos!$C$22)*(A56-Supuestos!$C$24)/(Supuestos!$D$8-Supuestos!$C$24))))</f>
        <v>188.3</v>
      </c>
      <c r="C56" s="25" t="n">
        <f aca="false">B56*Supuestos!$D$6</f>
        <v>1506.4</v>
      </c>
      <c r="D56" s="26" t="n">
        <f aca="false">C56*Supuestos!$C$42</f>
        <v>6527.73333333333</v>
      </c>
      <c r="E56" s="26" t="n">
        <f aca="false">IF(A56=0,0,MAX(Supuestos!$C$23,ROUNDUP(C56/Supuestos!$C$18,0)))</f>
        <v>51</v>
      </c>
      <c r="F56" s="25" t="n">
        <f aca="false">MAX(0,E56-IF(A55=0,Supuestos!$C$23,E55))+Supuestos!$C$19*E56</f>
        <v>1.53</v>
      </c>
      <c r="G56" s="26" t="n">
        <f aca="false">IF(A56=0,0,MAX(1,ROUNDUP(B56/Supuestos!$C$21,0)))</f>
        <v>3</v>
      </c>
      <c r="H56" s="27" t="n">
        <f aca="false">D56*(Supuestos!$C$14+Supuestos!$D$7)</f>
        <v>652773.333333333</v>
      </c>
      <c r="I56" s="27" t="n">
        <f aca="false">D56*Supuestos!$C$43</f>
        <v>486316.133333333</v>
      </c>
      <c r="J56" s="27" t="n">
        <f aca="false">IF(A56=0,0,Supuestos!$C$44+G56*Supuestos!$C$26)</f>
        <v>121600</v>
      </c>
      <c r="K56" s="28" t="n">
        <f aca="false">F56*Supuestos!$C$20</f>
        <v>5355</v>
      </c>
      <c r="L56" s="27" t="n">
        <f aca="false">IF(A56=0,Supuestos!$C$45,0)</f>
        <v>0</v>
      </c>
      <c r="M56" s="28" t="n">
        <f aca="false">IF(A56=0,-L56,H56-I56-J56-K56)</f>
        <v>39502.2</v>
      </c>
      <c r="N56" s="28" t="n">
        <f aca="false">N55+M56</f>
        <v>517082.200000001</v>
      </c>
      <c r="O56" s="29" t="n">
        <f aca="false">1/(1+Supuestos!$C$46)^A56</f>
        <v>0.672249485492634</v>
      </c>
      <c r="P56" s="28" t="n">
        <f aca="false">M56*O56</f>
        <v>26555.3336258271</v>
      </c>
      <c r="Q56" s="28" t="n">
        <f aca="false">Q55+P56</f>
        <v>233639.172651147</v>
      </c>
      <c r="R56" s="30" t="n">
        <f aca="false">IF(AND(A56&gt;0,N56&gt;=0),1,0)</f>
        <v>1</v>
      </c>
      <c r="S56" s="30" t="n">
        <f aca="false">IF(AND(A56&gt;0,Q56&gt;=0),1,0)</f>
        <v>1</v>
      </c>
    </row>
    <row r="57" customFormat="false" ht="15" hidden="false" customHeight="false" outlineLevel="0" collapsed="false">
      <c r="A57" s="4" t="n">
        <v>51</v>
      </c>
      <c r="B57" s="31" t="n">
        <f aca="false">IF(A57=0,0,IF(A57&lt;=Supuestos!$C$24,Supuestos!$C$22,IF(A57&gt;=Supuestos!$D$8,$V$7,Supuestos!$C$22+($V$7-Supuestos!$C$22)*(A57-Supuestos!$C$24)/(Supuestos!$D$8-Supuestos!$C$24))))</f>
        <v>188.3</v>
      </c>
      <c r="C57" s="31" t="n">
        <f aca="false">B57*Supuestos!$D$6</f>
        <v>1506.4</v>
      </c>
      <c r="D57" s="32" t="n">
        <f aca="false">C57*Supuestos!$C$42</f>
        <v>6527.73333333333</v>
      </c>
      <c r="E57" s="32" t="n">
        <f aca="false">IF(A57=0,0,MAX(Supuestos!$C$23,ROUNDUP(C57/Supuestos!$C$18,0)))</f>
        <v>51</v>
      </c>
      <c r="F57" s="31" t="n">
        <f aca="false">MAX(0,E57-IF(A56=0,Supuestos!$C$23,E56))+Supuestos!$C$19*E57</f>
        <v>1.53</v>
      </c>
      <c r="G57" s="32" t="n">
        <f aca="false">IF(A57=0,0,MAX(1,ROUNDUP(B57/Supuestos!$C$21,0)))</f>
        <v>3</v>
      </c>
      <c r="H57" s="33" t="n">
        <f aca="false">D57*(Supuestos!$C$14+Supuestos!$D$7)</f>
        <v>652773.333333333</v>
      </c>
      <c r="I57" s="33" t="n">
        <f aca="false">D57*Supuestos!$C$43</f>
        <v>486316.133333333</v>
      </c>
      <c r="J57" s="33" t="n">
        <f aca="false">IF(A57=0,0,Supuestos!$C$44+G57*Supuestos!$C$26)</f>
        <v>121600</v>
      </c>
      <c r="K57" s="21" t="n">
        <f aca="false">F57*Supuestos!$C$20</f>
        <v>5355</v>
      </c>
      <c r="L57" s="33" t="n">
        <f aca="false">IF(A57=0,Supuestos!$C$45,0)</f>
        <v>0</v>
      </c>
      <c r="M57" s="21" t="n">
        <f aca="false">IF(A57=0,-L57,H57-I57-J57-K57)</f>
        <v>39502.2</v>
      </c>
      <c r="N57" s="21" t="n">
        <f aca="false">N56+M57</f>
        <v>556584.400000001</v>
      </c>
      <c r="O57" s="34" t="n">
        <f aca="false">1/(1+Supuestos!$C$46)^A57</f>
        <v>0.666931281795171</v>
      </c>
      <c r="P57" s="21" t="n">
        <f aca="false">M57*O57</f>
        <v>26345.2528797292</v>
      </c>
      <c r="Q57" s="21" t="n">
        <f aca="false">Q56+P57</f>
        <v>259984.425530876</v>
      </c>
      <c r="R57" s="35" t="n">
        <f aca="false">IF(AND(A57&gt;0,N57&gt;=0),1,0)</f>
        <v>1</v>
      </c>
      <c r="S57" s="35" t="n">
        <f aca="false">IF(AND(A57&gt;0,Q57&gt;=0),1,0)</f>
        <v>1</v>
      </c>
    </row>
    <row r="58" customFormat="false" ht="15" hidden="false" customHeight="false" outlineLevel="0" collapsed="false">
      <c r="A58" s="24" t="n">
        <v>52</v>
      </c>
      <c r="B58" s="25" t="n">
        <f aca="false">IF(A58=0,0,IF(A58&lt;=Supuestos!$C$24,Supuestos!$C$22,IF(A58&gt;=Supuestos!$D$8,$V$7,Supuestos!$C$22+($V$7-Supuestos!$C$22)*(A58-Supuestos!$C$24)/(Supuestos!$D$8-Supuestos!$C$24))))</f>
        <v>188.3</v>
      </c>
      <c r="C58" s="25" t="n">
        <f aca="false">B58*Supuestos!$D$6</f>
        <v>1506.4</v>
      </c>
      <c r="D58" s="26" t="n">
        <f aca="false">C58*Supuestos!$C$42</f>
        <v>6527.73333333333</v>
      </c>
      <c r="E58" s="26" t="n">
        <f aca="false">IF(A58=0,0,MAX(Supuestos!$C$23,ROUNDUP(C58/Supuestos!$C$18,0)))</f>
        <v>51</v>
      </c>
      <c r="F58" s="25" t="n">
        <f aca="false">MAX(0,E58-IF(A57=0,Supuestos!$C$23,E57))+Supuestos!$C$19*E58</f>
        <v>1.53</v>
      </c>
      <c r="G58" s="26" t="n">
        <f aca="false">IF(A58=0,0,MAX(1,ROUNDUP(B58/Supuestos!$C$21,0)))</f>
        <v>3</v>
      </c>
      <c r="H58" s="27" t="n">
        <f aca="false">D58*(Supuestos!$C$14+Supuestos!$D$7)</f>
        <v>652773.333333333</v>
      </c>
      <c r="I58" s="27" t="n">
        <f aca="false">D58*Supuestos!$C$43</f>
        <v>486316.133333333</v>
      </c>
      <c r="J58" s="27" t="n">
        <f aca="false">IF(A58=0,0,Supuestos!$C$44+G58*Supuestos!$C$26)</f>
        <v>121600</v>
      </c>
      <c r="K58" s="28" t="n">
        <f aca="false">F58*Supuestos!$C$20</f>
        <v>5355</v>
      </c>
      <c r="L58" s="27" t="n">
        <f aca="false">IF(A58=0,Supuestos!$C$45,0)</f>
        <v>0</v>
      </c>
      <c r="M58" s="28" t="n">
        <f aca="false">IF(A58=0,-L58,H58-I58-J58-K58)</f>
        <v>39502.2</v>
      </c>
      <c r="N58" s="28" t="n">
        <f aca="false">N57+M58</f>
        <v>596086.600000001</v>
      </c>
      <c r="O58" s="29" t="n">
        <f aca="false">1/(1+Supuestos!$C$46)^A58</f>
        <v>0.661655150707918</v>
      </c>
      <c r="P58" s="28" t="n">
        <f aca="false">M58*O58</f>
        <v>26136.8340942943</v>
      </c>
      <c r="Q58" s="28" t="n">
        <f aca="false">Q57+P58</f>
        <v>286121.25962517</v>
      </c>
      <c r="R58" s="30" t="n">
        <f aca="false">IF(AND(A58&gt;0,N58&gt;=0),1,0)</f>
        <v>1</v>
      </c>
      <c r="S58" s="30" t="n">
        <f aca="false">IF(AND(A58&gt;0,Q58&gt;=0),1,0)</f>
        <v>1</v>
      </c>
    </row>
    <row r="59" customFormat="false" ht="15" hidden="false" customHeight="false" outlineLevel="0" collapsed="false">
      <c r="A59" s="4" t="n">
        <v>53</v>
      </c>
      <c r="B59" s="31" t="n">
        <f aca="false">IF(A59=0,0,IF(A59&lt;=Supuestos!$C$24,Supuestos!$C$22,IF(A59&gt;=Supuestos!$D$8,$V$7,Supuestos!$C$22+($V$7-Supuestos!$C$22)*(A59-Supuestos!$C$24)/(Supuestos!$D$8-Supuestos!$C$24))))</f>
        <v>188.3</v>
      </c>
      <c r="C59" s="31" t="n">
        <f aca="false">B59*Supuestos!$D$6</f>
        <v>1506.4</v>
      </c>
      <c r="D59" s="32" t="n">
        <f aca="false">C59*Supuestos!$C$42</f>
        <v>6527.73333333333</v>
      </c>
      <c r="E59" s="32" t="n">
        <f aca="false">IF(A59=0,0,MAX(Supuestos!$C$23,ROUNDUP(C59/Supuestos!$C$18,0)))</f>
        <v>51</v>
      </c>
      <c r="F59" s="31" t="n">
        <f aca="false">MAX(0,E59-IF(A58=0,Supuestos!$C$23,E58))+Supuestos!$C$19*E59</f>
        <v>1.53</v>
      </c>
      <c r="G59" s="32" t="n">
        <f aca="false">IF(A59=0,0,MAX(1,ROUNDUP(B59/Supuestos!$C$21,0)))</f>
        <v>3</v>
      </c>
      <c r="H59" s="33" t="n">
        <f aca="false">D59*(Supuestos!$C$14+Supuestos!$D$7)</f>
        <v>652773.333333333</v>
      </c>
      <c r="I59" s="33" t="n">
        <f aca="false">D59*Supuestos!$C$43</f>
        <v>486316.133333333</v>
      </c>
      <c r="J59" s="33" t="n">
        <f aca="false">IF(A59=0,0,Supuestos!$C$44+G59*Supuestos!$C$26)</f>
        <v>121600</v>
      </c>
      <c r="K59" s="21" t="n">
        <f aca="false">F59*Supuestos!$C$20</f>
        <v>5355</v>
      </c>
      <c r="L59" s="33" t="n">
        <f aca="false">IF(A59=0,Supuestos!$C$45,0)</f>
        <v>0</v>
      </c>
      <c r="M59" s="21" t="n">
        <f aca="false">IF(A59=0,-L59,H59-I59-J59-K59)</f>
        <v>39502.2</v>
      </c>
      <c r="N59" s="21" t="n">
        <f aca="false">N58+M59</f>
        <v>635588.800000001</v>
      </c>
      <c r="O59" s="34" t="n">
        <f aca="false">1/(1+Supuestos!$C$46)^A59</f>
        <v>0.656420759392078</v>
      </c>
      <c r="P59" s="21" t="n">
        <f aca="false">M59*O59</f>
        <v>25930.0641216578</v>
      </c>
      <c r="Q59" s="21" t="n">
        <f aca="false">Q58+P59</f>
        <v>312051.323746828</v>
      </c>
      <c r="R59" s="35" t="n">
        <f aca="false">IF(AND(A59&gt;0,N59&gt;=0),1,0)</f>
        <v>1</v>
      </c>
      <c r="S59" s="35" t="n">
        <f aca="false">IF(AND(A59&gt;0,Q59&gt;=0),1,0)</f>
        <v>1</v>
      </c>
    </row>
    <row r="60" customFormat="false" ht="15" hidden="false" customHeight="false" outlineLevel="0" collapsed="false">
      <c r="A60" s="24" t="n">
        <v>54</v>
      </c>
      <c r="B60" s="25" t="n">
        <f aca="false">IF(A60=0,0,IF(A60&lt;=Supuestos!$C$24,Supuestos!$C$22,IF(A60&gt;=Supuestos!$D$8,$V$7,Supuestos!$C$22+($V$7-Supuestos!$C$22)*(A60-Supuestos!$C$24)/(Supuestos!$D$8-Supuestos!$C$24))))</f>
        <v>188.3</v>
      </c>
      <c r="C60" s="25" t="n">
        <f aca="false">B60*Supuestos!$D$6</f>
        <v>1506.4</v>
      </c>
      <c r="D60" s="26" t="n">
        <f aca="false">C60*Supuestos!$C$42</f>
        <v>6527.73333333333</v>
      </c>
      <c r="E60" s="26" t="n">
        <f aca="false">IF(A60=0,0,MAX(Supuestos!$C$23,ROUNDUP(C60/Supuestos!$C$18,0)))</f>
        <v>51</v>
      </c>
      <c r="F60" s="25" t="n">
        <f aca="false">MAX(0,E60-IF(A59=0,Supuestos!$C$23,E59))+Supuestos!$C$19*E60</f>
        <v>1.53</v>
      </c>
      <c r="G60" s="26" t="n">
        <f aca="false">IF(A60=0,0,MAX(1,ROUNDUP(B60/Supuestos!$C$21,0)))</f>
        <v>3</v>
      </c>
      <c r="H60" s="27" t="n">
        <f aca="false">D60*(Supuestos!$C$14+Supuestos!$D$7)</f>
        <v>652773.333333333</v>
      </c>
      <c r="I60" s="27" t="n">
        <f aca="false">D60*Supuestos!$C$43</f>
        <v>486316.133333333</v>
      </c>
      <c r="J60" s="27" t="n">
        <f aca="false">IF(A60=0,0,Supuestos!$C$44+G60*Supuestos!$C$26)</f>
        <v>121600</v>
      </c>
      <c r="K60" s="28" t="n">
        <f aca="false">F60*Supuestos!$C$20</f>
        <v>5355</v>
      </c>
      <c r="L60" s="27" t="n">
        <f aca="false">IF(A60=0,Supuestos!$C$45,0)</f>
        <v>0</v>
      </c>
      <c r="M60" s="28" t="n">
        <f aca="false">IF(A60=0,-L60,H60-I60-J60-K60)</f>
        <v>39502.2</v>
      </c>
      <c r="N60" s="28" t="n">
        <f aca="false">N59+M60</f>
        <v>675091.000000001</v>
      </c>
      <c r="O60" s="29" t="n">
        <f aca="false">1/(1+Supuestos!$C$46)^A60</f>
        <v>0.651227777641958</v>
      </c>
      <c r="P60" s="28" t="n">
        <f aca="false">M60*O60</f>
        <v>25724.9299179682</v>
      </c>
      <c r="Q60" s="28" t="n">
        <f aca="false">Q59+P60</f>
        <v>337776.253664796</v>
      </c>
      <c r="R60" s="30" t="n">
        <f aca="false">IF(AND(A60&gt;0,N60&gt;=0),1,0)</f>
        <v>1</v>
      </c>
      <c r="S60" s="30" t="n">
        <f aca="false">IF(AND(A60&gt;0,Q60&gt;=0),1,0)</f>
        <v>1</v>
      </c>
    </row>
    <row r="61" customFormat="false" ht="15" hidden="false" customHeight="false" outlineLevel="0" collapsed="false">
      <c r="A61" s="4" t="n">
        <v>55</v>
      </c>
      <c r="B61" s="31" t="n">
        <f aca="false">IF(A61=0,0,IF(A61&lt;=Supuestos!$C$24,Supuestos!$C$22,IF(A61&gt;=Supuestos!$D$8,$V$7,Supuestos!$C$22+($V$7-Supuestos!$C$22)*(A61-Supuestos!$C$24)/(Supuestos!$D$8-Supuestos!$C$24))))</f>
        <v>188.3</v>
      </c>
      <c r="C61" s="31" t="n">
        <f aca="false">B61*Supuestos!$D$6</f>
        <v>1506.4</v>
      </c>
      <c r="D61" s="32" t="n">
        <f aca="false">C61*Supuestos!$C$42</f>
        <v>6527.73333333333</v>
      </c>
      <c r="E61" s="32" t="n">
        <f aca="false">IF(A61=0,0,MAX(Supuestos!$C$23,ROUNDUP(C61/Supuestos!$C$18,0)))</f>
        <v>51</v>
      </c>
      <c r="F61" s="31" t="n">
        <f aca="false">MAX(0,E61-IF(A60=0,Supuestos!$C$23,E60))+Supuestos!$C$19*E61</f>
        <v>1.53</v>
      </c>
      <c r="G61" s="32" t="n">
        <f aca="false">IF(A61=0,0,MAX(1,ROUNDUP(B61/Supuestos!$C$21,0)))</f>
        <v>3</v>
      </c>
      <c r="H61" s="33" t="n">
        <f aca="false">D61*(Supuestos!$C$14+Supuestos!$D$7)</f>
        <v>652773.333333333</v>
      </c>
      <c r="I61" s="33" t="n">
        <f aca="false">D61*Supuestos!$C$43</f>
        <v>486316.133333333</v>
      </c>
      <c r="J61" s="33" t="n">
        <f aca="false">IF(A61=0,0,Supuestos!$C$44+G61*Supuestos!$C$26)</f>
        <v>121600</v>
      </c>
      <c r="K61" s="21" t="n">
        <f aca="false">F61*Supuestos!$C$20</f>
        <v>5355</v>
      </c>
      <c r="L61" s="33" t="n">
        <f aca="false">IF(A61=0,Supuestos!$C$45,0)</f>
        <v>0</v>
      </c>
      <c r="M61" s="21" t="n">
        <f aca="false">IF(A61=0,-L61,H61-I61-J61-K61)</f>
        <v>39502.2</v>
      </c>
      <c r="N61" s="21" t="n">
        <f aca="false">N60+M61</f>
        <v>714593.2</v>
      </c>
      <c r="O61" s="34" t="n">
        <f aca="false">1/(1+Supuestos!$C$46)^A61</f>
        <v>0.646075877864142</v>
      </c>
      <c r="P61" s="21" t="n">
        <f aca="false">M61*O61</f>
        <v>25521.4185425649</v>
      </c>
      <c r="Q61" s="21" t="n">
        <f aca="false">Q60+P61</f>
        <v>363297.672207361</v>
      </c>
      <c r="R61" s="35" t="n">
        <f aca="false">IF(AND(A61&gt;0,N61&gt;=0),1,0)</f>
        <v>1</v>
      </c>
      <c r="S61" s="35" t="n">
        <f aca="false">IF(AND(A61&gt;0,Q61&gt;=0),1,0)</f>
        <v>1</v>
      </c>
    </row>
    <row r="62" customFormat="false" ht="15" hidden="false" customHeight="false" outlineLevel="0" collapsed="false">
      <c r="A62" s="24" t="n">
        <v>56</v>
      </c>
      <c r="B62" s="25" t="n">
        <f aca="false">IF(A62=0,0,IF(A62&lt;=Supuestos!$C$24,Supuestos!$C$22,IF(A62&gt;=Supuestos!$D$8,$V$7,Supuestos!$C$22+($V$7-Supuestos!$C$22)*(A62-Supuestos!$C$24)/(Supuestos!$D$8-Supuestos!$C$24))))</f>
        <v>188.3</v>
      </c>
      <c r="C62" s="25" t="n">
        <f aca="false">B62*Supuestos!$D$6</f>
        <v>1506.4</v>
      </c>
      <c r="D62" s="26" t="n">
        <f aca="false">C62*Supuestos!$C$42</f>
        <v>6527.73333333333</v>
      </c>
      <c r="E62" s="26" t="n">
        <f aca="false">IF(A62=0,0,MAX(Supuestos!$C$23,ROUNDUP(C62/Supuestos!$C$18,0)))</f>
        <v>51</v>
      </c>
      <c r="F62" s="25" t="n">
        <f aca="false">MAX(0,E62-IF(A61=0,Supuestos!$C$23,E61))+Supuestos!$C$19*E62</f>
        <v>1.53</v>
      </c>
      <c r="G62" s="26" t="n">
        <f aca="false">IF(A62=0,0,MAX(1,ROUNDUP(B62/Supuestos!$C$21,0)))</f>
        <v>3</v>
      </c>
      <c r="H62" s="27" t="n">
        <f aca="false">D62*(Supuestos!$C$14+Supuestos!$D$7)</f>
        <v>652773.333333333</v>
      </c>
      <c r="I62" s="27" t="n">
        <f aca="false">D62*Supuestos!$C$43</f>
        <v>486316.133333333</v>
      </c>
      <c r="J62" s="27" t="n">
        <f aca="false">IF(A62=0,0,Supuestos!$C$44+G62*Supuestos!$C$26)</f>
        <v>121600</v>
      </c>
      <c r="K62" s="28" t="n">
        <f aca="false">F62*Supuestos!$C$20</f>
        <v>5355</v>
      </c>
      <c r="L62" s="27" t="n">
        <f aca="false">IF(A62=0,Supuestos!$C$45,0)</f>
        <v>0</v>
      </c>
      <c r="M62" s="28" t="n">
        <f aca="false">IF(A62=0,-L62,H62-I62-J62-K62)</f>
        <v>39502.2</v>
      </c>
      <c r="N62" s="28" t="n">
        <f aca="false">N61+M62</f>
        <v>754095.4</v>
      </c>
      <c r="O62" s="29" t="n">
        <f aca="false">1/(1+Supuestos!$C$46)^A62</f>
        <v>0.640964735056824</v>
      </c>
      <c r="P62" s="28" t="n">
        <f aca="false">M62*O62</f>
        <v>25319.5171571617</v>
      </c>
      <c r="Q62" s="28" t="n">
        <f aca="false">Q61+P62</f>
        <v>388617.189364523</v>
      </c>
      <c r="R62" s="30" t="n">
        <f aca="false">IF(AND(A62&gt;0,N62&gt;=0),1,0)</f>
        <v>1</v>
      </c>
      <c r="S62" s="30" t="n">
        <f aca="false">IF(AND(A62&gt;0,Q62&gt;=0),1,0)</f>
        <v>1</v>
      </c>
    </row>
    <row r="63" customFormat="false" ht="15" hidden="false" customHeight="false" outlineLevel="0" collapsed="false">
      <c r="A63" s="4" t="n">
        <v>57</v>
      </c>
      <c r="B63" s="31" t="n">
        <f aca="false">IF(A63=0,0,IF(A63&lt;=Supuestos!$C$24,Supuestos!$C$22,IF(A63&gt;=Supuestos!$D$8,$V$7,Supuestos!$C$22+($V$7-Supuestos!$C$22)*(A63-Supuestos!$C$24)/(Supuestos!$D$8-Supuestos!$C$24))))</f>
        <v>188.3</v>
      </c>
      <c r="C63" s="31" t="n">
        <f aca="false">B63*Supuestos!$D$6</f>
        <v>1506.4</v>
      </c>
      <c r="D63" s="32" t="n">
        <f aca="false">C63*Supuestos!$C$42</f>
        <v>6527.73333333333</v>
      </c>
      <c r="E63" s="32" t="n">
        <f aca="false">IF(A63=0,0,MAX(Supuestos!$C$23,ROUNDUP(C63/Supuestos!$C$18,0)))</f>
        <v>51</v>
      </c>
      <c r="F63" s="31" t="n">
        <f aca="false">MAX(0,E63-IF(A62=0,Supuestos!$C$23,E62))+Supuestos!$C$19*E63</f>
        <v>1.53</v>
      </c>
      <c r="G63" s="32" t="n">
        <f aca="false">IF(A63=0,0,MAX(1,ROUNDUP(B63/Supuestos!$C$21,0)))</f>
        <v>3</v>
      </c>
      <c r="H63" s="33" t="n">
        <f aca="false">D63*(Supuestos!$C$14+Supuestos!$D$7)</f>
        <v>652773.333333333</v>
      </c>
      <c r="I63" s="33" t="n">
        <f aca="false">D63*Supuestos!$C$43</f>
        <v>486316.133333333</v>
      </c>
      <c r="J63" s="33" t="n">
        <f aca="false">IF(A63=0,0,Supuestos!$C$44+G63*Supuestos!$C$26)</f>
        <v>121600</v>
      </c>
      <c r="K63" s="21" t="n">
        <f aca="false">F63*Supuestos!$C$20</f>
        <v>5355</v>
      </c>
      <c r="L63" s="33" t="n">
        <f aca="false">IF(A63=0,Supuestos!$C$45,0)</f>
        <v>0</v>
      </c>
      <c r="M63" s="21" t="n">
        <f aca="false">IF(A63=0,-L63,H63-I63-J63-K63)</f>
        <v>39502.2</v>
      </c>
      <c r="N63" s="21" t="n">
        <f aca="false">N62+M63</f>
        <v>793597.6</v>
      </c>
      <c r="O63" s="34" t="n">
        <f aca="false">1/(1+Supuestos!$C$46)^A63</f>
        <v>0.635894026789305</v>
      </c>
      <c r="P63" s="21" t="n">
        <f aca="false">M63*O63</f>
        <v>25119.2130250365</v>
      </c>
      <c r="Q63" s="21" t="n">
        <f aca="false">Q62+P63</f>
        <v>413736.402389559</v>
      </c>
      <c r="R63" s="35" t="n">
        <f aca="false">IF(AND(A63&gt;0,N63&gt;=0),1,0)</f>
        <v>1</v>
      </c>
      <c r="S63" s="35" t="n">
        <f aca="false">IF(AND(A63&gt;0,Q63&gt;=0),1,0)</f>
        <v>1</v>
      </c>
    </row>
    <row r="64" customFormat="false" ht="15" hidden="false" customHeight="false" outlineLevel="0" collapsed="false">
      <c r="A64" s="24" t="n">
        <v>58</v>
      </c>
      <c r="B64" s="25" t="n">
        <f aca="false">IF(A64=0,0,IF(A64&lt;=Supuestos!$C$24,Supuestos!$C$22,IF(A64&gt;=Supuestos!$D$8,$V$7,Supuestos!$C$22+($V$7-Supuestos!$C$22)*(A64-Supuestos!$C$24)/(Supuestos!$D$8-Supuestos!$C$24))))</f>
        <v>188.3</v>
      </c>
      <c r="C64" s="25" t="n">
        <f aca="false">B64*Supuestos!$D$6</f>
        <v>1506.4</v>
      </c>
      <c r="D64" s="26" t="n">
        <f aca="false">C64*Supuestos!$C$42</f>
        <v>6527.73333333333</v>
      </c>
      <c r="E64" s="26" t="n">
        <f aca="false">IF(A64=0,0,MAX(Supuestos!$C$23,ROUNDUP(C64/Supuestos!$C$18,0)))</f>
        <v>51</v>
      </c>
      <c r="F64" s="25" t="n">
        <f aca="false">MAX(0,E64-IF(A63=0,Supuestos!$C$23,E63))+Supuestos!$C$19*E64</f>
        <v>1.53</v>
      </c>
      <c r="G64" s="26" t="n">
        <f aca="false">IF(A64=0,0,MAX(1,ROUNDUP(B64/Supuestos!$C$21,0)))</f>
        <v>3</v>
      </c>
      <c r="H64" s="27" t="n">
        <f aca="false">D64*(Supuestos!$C$14+Supuestos!$D$7)</f>
        <v>652773.333333333</v>
      </c>
      <c r="I64" s="27" t="n">
        <f aca="false">D64*Supuestos!$C$43</f>
        <v>486316.133333333</v>
      </c>
      <c r="J64" s="27" t="n">
        <f aca="false">IF(A64=0,0,Supuestos!$C$44+G64*Supuestos!$C$26)</f>
        <v>121600</v>
      </c>
      <c r="K64" s="28" t="n">
        <f aca="false">F64*Supuestos!$C$20</f>
        <v>5355</v>
      </c>
      <c r="L64" s="27" t="n">
        <f aca="false">IF(A64=0,Supuestos!$C$45,0)</f>
        <v>0</v>
      </c>
      <c r="M64" s="28" t="n">
        <f aca="false">IF(A64=0,-L64,H64-I64-J64-K64)</f>
        <v>39502.2</v>
      </c>
      <c r="N64" s="28" t="n">
        <f aca="false">N63+M64</f>
        <v>833099.8</v>
      </c>
      <c r="O64" s="29" t="n">
        <f aca="false">1/(1+Supuestos!$C$46)^A64</f>
        <v>0.630863433181654</v>
      </c>
      <c r="P64" s="28" t="n">
        <f aca="false">M64*O64</f>
        <v>24920.4935102284</v>
      </c>
      <c r="Q64" s="28" t="n">
        <f aca="false">Q63+P64</f>
        <v>438656.895899788</v>
      </c>
      <c r="R64" s="30" t="n">
        <f aca="false">IF(AND(A64&gt;0,N64&gt;=0),1,0)</f>
        <v>1</v>
      </c>
      <c r="S64" s="30" t="n">
        <f aca="false">IF(AND(A64&gt;0,Q64&gt;=0),1,0)</f>
        <v>1</v>
      </c>
    </row>
    <row r="65" customFormat="false" ht="15" hidden="false" customHeight="false" outlineLevel="0" collapsed="false">
      <c r="A65" s="4" t="n">
        <v>59</v>
      </c>
      <c r="B65" s="31" t="n">
        <f aca="false">IF(A65=0,0,IF(A65&lt;=Supuestos!$C$24,Supuestos!$C$22,IF(A65&gt;=Supuestos!$D$8,$V$7,Supuestos!$C$22+($V$7-Supuestos!$C$22)*(A65-Supuestos!$C$24)/(Supuestos!$D$8-Supuestos!$C$24))))</f>
        <v>188.3</v>
      </c>
      <c r="C65" s="31" t="n">
        <f aca="false">B65*Supuestos!$D$6</f>
        <v>1506.4</v>
      </c>
      <c r="D65" s="32" t="n">
        <f aca="false">C65*Supuestos!$C$42</f>
        <v>6527.73333333333</v>
      </c>
      <c r="E65" s="32" t="n">
        <f aca="false">IF(A65=0,0,MAX(Supuestos!$C$23,ROUNDUP(C65/Supuestos!$C$18,0)))</f>
        <v>51</v>
      </c>
      <c r="F65" s="31" t="n">
        <f aca="false">MAX(0,E65-IF(A64=0,Supuestos!$C$23,E64))+Supuestos!$C$19*E65</f>
        <v>1.53</v>
      </c>
      <c r="G65" s="32" t="n">
        <f aca="false">IF(A65=0,0,MAX(1,ROUNDUP(B65/Supuestos!$C$21,0)))</f>
        <v>3</v>
      </c>
      <c r="H65" s="33" t="n">
        <f aca="false">D65*(Supuestos!$C$14+Supuestos!$D$7)</f>
        <v>652773.333333333</v>
      </c>
      <c r="I65" s="33" t="n">
        <f aca="false">D65*Supuestos!$C$43</f>
        <v>486316.133333333</v>
      </c>
      <c r="J65" s="33" t="n">
        <f aca="false">IF(A65=0,0,Supuestos!$C$44+G65*Supuestos!$C$26)</f>
        <v>121600</v>
      </c>
      <c r="K65" s="21" t="n">
        <f aca="false">F65*Supuestos!$C$20</f>
        <v>5355</v>
      </c>
      <c r="L65" s="33" t="n">
        <f aca="false">IF(A65=0,Supuestos!$C$45,0)</f>
        <v>0</v>
      </c>
      <c r="M65" s="21" t="n">
        <f aca="false">IF(A65=0,-L65,H65-I65-J65-K65)</f>
        <v>39502.2</v>
      </c>
      <c r="N65" s="21" t="n">
        <f aca="false">N64+M65</f>
        <v>872602</v>
      </c>
      <c r="O65" s="34" t="n">
        <f aca="false">1/(1+Supuestos!$C$46)^A65</f>
        <v>0.625872636884529</v>
      </c>
      <c r="P65" s="21" t="n">
        <f aca="false">M65*O65</f>
        <v>24723.34607674</v>
      </c>
      <c r="Q65" s="21" t="n">
        <f aca="false">Q64+P65</f>
        <v>463380.241976528</v>
      </c>
      <c r="R65" s="35" t="n">
        <f aca="false">IF(AND(A65&gt;0,N65&gt;=0),1,0)</f>
        <v>1</v>
      </c>
      <c r="S65" s="35" t="n">
        <f aca="false">IF(AND(A65&gt;0,Q65&gt;=0),1,0)</f>
        <v>1</v>
      </c>
    </row>
    <row r="66" customFormat="false" ht="15" hidden="false" customHeight="false" outlineLevel="0" collapsed="false">
      <c r="A66" s="24" t="n">
        <v>60</v>
      </c>
      <c r="B66" s="25" t="n">
        <f aca="false">IF(A66=0,0,IF(A66&lt;=Supuestos!$C$24,Supuestos!$C$22,IF(A66&gt;=Supuestos!$D$8,$V$7,Supuestos!$C$22+($V$7-Supuestos!$C$22)*(A66-Supuestos!$C$24)/(Supuestos!$D$8-Supuestos!$C$24))))</f>
        <v>188.3</v>
      </c>
      <c r="C66" s="25" t="n">
        <f aca="false">B66*Supuestos!$D$6</f>
        <v>1506.4</v>
      </c>
      <c r="D66" s="26" t="n">
        <f aca="false">C66*Supuestos!$C$42</f>
        <v>6527.73333333333</v>
      </c>
      <c r="E66" s="26" t="n">
        <f aca="false">IF(A66=0,0,MAX(Supuestos!$C$23,ROUNDUP(C66/Supuestos!$C$18,0)))</f>
        <v>51</v>
      </c>
      <c r="F66" s="25" t="n">
        <f aca="false">MAX(0,E66-IF(A65=0,Supuestos!$C$23,E65))+Supuestos!$C$19*E66</f>
        <v>1.53</v>
      </c>
      <c r="G66" s="26" t="n">
        <f aca="false">IF(A66=0,0,MAX(1,ROUNDUP(B66/Supuestos!$C$21,0)))</f>
        <v>3</v>
      </c>
      <c r="H66" s="27" t="n">
        <f aca="false">D66*(Supuestos!$C$14+Supuestos!$D$7)</f>
        <v>652773.333333333</v>
      </c>
      <c r="I66" s="27" t="n">
        <f aca="false">D66*Supuestos!$C$43</f>
        <v>486316.133333333</v>
      </c>
      <c r="J66" s="27" t="n">
        <f aca="false">IF(A66=0,0,Supuestos!$C$44+G66*Supuestos!$C$26)</f>
        <v>121600</v>
      </c>
      <c r="K66" s="28" t="n">
        <f aca="false">F66*Supuestos!$C$20</f>
        <v>5355</v>
      </c>
      <c r="L66" s="27" t="n">
        <f aca="false">IF(A66=0,Supuestos!$C$45,0)</f>
        <v>0</v>
      </c>
      <c r="M66" s="28" t="n">
        <f aca="false">IF(A66=0,-L66,H66-I66-J66-K66)</f>
        <v>39502.2</v>
      </c>
      <c r="N66" s="28" t="n">
        <f aca="false">N65+M66</f>
        <v>912104.2</v>
      </c>
      <c r="O66" s="29" t="n">
        <f aca="false">1/(1+Supuestos!$C$46)^A66</f>
        <v>0.620921323059154</v>
      </c>
      <c r="P66" s="28" t="n">
        <f aca="false">M66*O66</f>
        <v>24527.7582877473</v>
      </c>
      <c r="Q66" s="28" t="n">
        <f aca="false">Q65+P66</f>
        <v>487908.000264275</v>
      </c>
      <c r="R66" s="30" t="n">
        <f aca="false">IF(AND(A66&gt;0,N66&gt;=0),1,0)</f>
        <v>1</v>
      </c>
      <c r="S66" s="30" t="n">
        <f aca="false">IF(AND(A66&gt;0,Q66&gt;=0),1,0)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19" min="2" style="0" width="13"/>
    <col collapsed="false" customWidth="true" hidden="false" outlineLevel="0" max="20" min="20" style="0" width="3"/>
    <col collapsed="false" customWidth="true" hidden="false" outlineLevel="0" max="21" min="21" style="0" width="42"/>
    <col collapsed="false" customWidth="true" hidden="false" outlineLevel="0" max="22" min="22" style="0" width="16"/>
  </cols>
  <sheetData>
    <row r="1" customFormat="false" ht="16.15" hidden="false" customHeight="false" outlineLevel="0" collapsed="false">
      <c r="A1" s="1" t="s">
        <v>145</v>
      </c>
    </row>
    <row r="2" customFormat="false" ht="15" hidden="false" customHeight="false" outlineLevel="0" collapsed="false">
      <c r="A2" s="7" t="s">
        <v>98</v>
      </c>
    </row>
    <row r="3" customFormat="false" ht="15" hidden="false" customHeight="false" outlineLevel="0" collapsed="false">
      <c r="U3" s="8" t="s">
        <v>99</v>
      </c>
      <c r="V3" s="8" t="s">
        <v>42</v>
      </c>
    </row>
    <row r="4" customFormat="false" ht="15" hidden="false" customHeight="false" outlineLevel="0" collapsed="false">
      <c r="U4" s="2" t="s">
        <v>100</v>
      </c>
      <c r="V4" s="2" t="s">
        <v>24</v>
      </c>
    </row>
    <row r="5" customFormat="false" ht="46.25" hidden="false" customHeight="false" outlineLevel="0" collapsed="false">
      <c r="A5" s="8" t="s">
        <v>101</v>
      </c>
      <c r="B5" s="8" t="s">
        <v>102</v>
      </c>
      <c r="C5" s="8" t="s">
        <v>103</v>
      </c>
      <c r="D5" s="8" t="s">
        <v>104</v>
      </c>
      <c r="E5" s="8" t="s">
        <v>105</v>
      </c>
      <c r="F5" s="8" t="s">
        <v>106</v>
      </c>
      <c r="G5" s="8" t="s">
        <v>107</v>
      </c>
      <c r="H5" s="8" t="s">
        <v>108</v>
      </c>
      <c r="I5" s="8" t="s">
        <v>109</v>
      </c>
      <c r="J5" s="8" t="s">
        <v>110</v>
      </c>
      <c r="K5" s="8" t="s">
        <v>111</v>
      </c>
      <c r="L5" s="8" t="s">
        <v>112</v>
      </c>
      <c r="M5" s="8" t="s">
        <v>113</v>
      </c>
      <c r="N5" s="8" t="s">
        <v>114</v>
      </c>
      <c r="O5" s="8" t="s">
        <v>115</v>
      </c>
      <c r="P5" s="8" t="s">
        <v>116</v>
      </c>
      <c r="Q5" s="8" t="s">
        <v>117</v>
      </c>
      <c r="R5" s="8" t="s">
        <v>118</v>
      </c>
      <c r="S5" s="8" t="s">
        <v>119</v>
      </c>
      <c r="U5" s="2" t="s">
        <v>120</v>
      </c>
      <c r="V5" s="20" t="n">
        <f aca="false">Supuestos!$C$14+Supuestos!$E$7</f>
        <v>100</v>
      </c>
    </row>
    <row r="6" customFormat="false" ht="15" hidden="false" customHeight="false" outlineLevel="0" collapsed="false">
      <c r="A6" s="24" t="n">
        <v>0</v>
      </c>
      <c r="B6" s="25" t="n">
        <f aca="false">IF(A6=0,0,IF(A6&lt;=Supuestos!$C$24,Supuestos!$C$22,IF(A6&gt;=Supuestos!$E$8,$V$7,Supuestos!$C$22+($V$7-Supuestos!$C$22)*(A6-Supuestos!$C$24)/(Supuestos!$E$8-Supuestos!$C$24))))</f>
        <v>0</v>
      </c>
      <c r="C6" s="25" t="n">
        <f aca="false">B6*Supuestos!$E$6</f>
        <v>0</v>
      </c>
      <c r="D6" s="26" t="n">
        <f aca="false">C6*Supuestos!$C$42</f>
        <v>0</v>
      </c>
      <c r="E6" s="26" t="n">
        <f aca="false">IF(A6=0,0,MAX(Supuestos!$C$23,ROUNDUP(C6/Supuestos!$C$18,0)))</f>
        <v>0</v>
      </c>
      <c r="F6" s="25" t="n">
        <v>0</v>
      </c>
      <c r="G6" s="26" t="n">
        <f aca="false">IF(A6=0,0,MAX(1,ROUNDUP(B6/Supuestos!$C$21,0)))</f>
        <v>0</v>
      </c>
      <c r="H6" s="27" t="n">
        <f aca="false">D6*(Supuestos!$C$14+Supuestos!$E$7)</f>
        <v>0</v>
      </c>
      <c r="I6" s="27" t="n">
        <f aca="false">D6*Supuestos!$C$43</f>
        <v>0</v>
      </c>
      <c r="J6" s="27" t="n">
        <f aca="false">IF(A6=0,0,Supuestos!$C$44+G6*Supuestos!$C$26)</f>
        <v>0</v>
      </c>
      <c r="K6" s="28" t="n">
        <f aca="false">F6*Supuestos!$C$20</f>
        <v>0</v>
      </c>
      <c r="L6" s="27" t="n">
        <f aca="false">IF(A6=0,Supuestos!$C$45,0)</f>
        <v>226000</v>
      </c>
      <c r="M6" s="28" t="n">
        <f aca="false">IF(A6=0,-L6,H6-I6-J6-K6)</f>
        <v>-226000</v>
      </c>
      <c r="N6" s="28" t="n">
        <f aca="false">M6</f>
        <v>-226000</v>
      </c>
      <c r="O6" s="29" t="n">
        <f aca="false">1/(1+Supuestos!$C$46)^A6</f>
        <v>1</v>
      </c>
      <c r="P6" s="28" t="n">
        <f aca="false">M6*O6</f>
        <v>-226000</v>
      </c>
      <c r="Q6" s="28" t="n">
        <f aca="false">P6</f>
        <v>-226000</v>
      </c>
      <c r="R6" s="30" t="n">
        <f aca="false">IF(AND(A6&gt;0,N6&gt;=0),1,0)</f>
        <v>0</v>
      </c>
      <c r="S6" s="30" t="n">
        <f aca="false">IF(AND(A6&gt;0,Q6&gt;=0),1,0)</f>
        <v>0</v>
      </c>
      <c r="U6" s="2" t="s">
        <v>121</v>
      </c>
      <c r="V6" s="20" t="n">
        <f aca="false">V5-Supuestos!$C$43</f>
        <v>25.5</v>
      </c>
    </row>
    <row r="7" customFormat="false" ht="15" hidden="false" customHeight="false" outlineLevel="0" collapsed="false">
      <c r="A7" s="4" t="n">
        <v>1</v>
      </c>
      <c r="B7" s="31" t="n">
        <f aca="false">IF(A7=0,0,IF(A7&lt;=Supuestos!$C$24,Supuestos!$C$22,IF(A7&gt;=Supuestos!$E$8,$V$7,Supuestos!$C$22+($V$7-Supuestos!$C$22)*(A7-Supuestos!$C$24)/(Supuestos!$E$8-Supuestos!$C$24))))</f>
        <v>15</v>
      </c>
      <c r="C7" s="31" t="n">
        <f aca="false">B7*Supuestos!$E$6</f>
        <v>150</v>
      </c>
      <c r="D7" s="32" t="n">
        <f aca="false">C7*Supuestos!$C$42</f>
        <v>650</v>
      </c>
      <c r="E7" s="32" t="n">
        <f aca="false">IF(A7=0,0,MAX(Supuestos!$C$23,ROUNDUP(C7/Supuestos!$C$18,0)))</f>
        <v>6</v>
      </c>
      <c r="F7" s="31" t="n">
        <f aca="false">MAX(0,E7-IF(A6=0,Supuestos!$C$23,E6))+Supuestos!$C$19*E7</f>
        <v>0.18</v>
      </c>
      <c r="G7" s="32" t="n">
        <f aca="false">IF(A7=0,0,MAX(1,ROUNDUP(B7/Supuestos!$C$21,0)))</f>
        <v>1</v>
      </c>
      <c r="H7" s="33" t="n">
        <f aca="false">D7*(Supuestos!$C$14+Supuestos!$E$7)</f>
        <v>65000</v>
      </c>
      <c r="I7" s="33" t="n">
        <f aca="false">D7*Supuestos!$C$43</f>
        <v>48425</v>
      </c>
      <c r="J7" s="33" t="n">
        <f aca="false">IF(A7=0,0,Supuestos!$C$44+G7*Supuestos!$C$26)</f>
        <v>73000</v>
      </c>
      <c r="K7" s="21" t="n">
        <f aca="false">F7*Supuestos!$C$20</f>
        <v>630</v>
      </c>
      <c r="L7" s="33" t="n">
        <f aca="false">IF(A7=0,Supuestos!$C$45,0)</f>
        <v>0</v>
      </c>
      <c r="M7" s="21" t="n">
        <f aca="false">IF(A7=0,-L7,H7-I7-J7-K7)</f>
        <v>-57055</v>
      </c>
      <c r="N7" s="21" t="n">
        <f aca="false">N6+M7</f>
        <v>-283055</v>
      </c>
      <c r="O7" s="34" t="n">
        <f aca="false">1/(1+Supuestos!$C$46)^A7</f>
        <v>0.992088943446991</v>
      </c>
      <c r="P7" s="21" t="n">
        <f aca="false">M7*O7</f>
        <v>-56603.6346683681</v>
      </c>
      <c r="Q7" s="21" t="n">
        <f aca="false">Q6+P7</f>
        <v>-282603.634668368</v>
      </c>
      <c r="R7" s="35" t="n">
        <f aca="false">IF(AND(A7&gt;0,N7&gt;=0),1,0)</f>
        <v>0</v>
      </c>
      <c r="S7" s="35" t="n">
        <f aca="false">IF(AND(A7&gt;0,Q7&gt;=0),1,0)</f>
        <v>0</v>
      </c>
      <c r="U7" s="2" t="s">
        <v>122</v>
      </c>
      <c r="V7" s="31" t="n">
        <f aca="false">MAX(Supuestos!$C$13*Supuestos!$E$5,Supuestos!$C$22)</f>
        <v>301.28</v>
      </c>
    </row>
    <row r="8" customFormat="false" ht="15" hidden="false" customHeight="false" outlineLevel="0" collapsed="false">
      <c r="A8" s="24" t="n">
        <v>2</v>
      </c>
      <c r="B8" s="25" t="n">
        <f aca="false">IF(A8=0,0,IF(A8&lt;=Supuestos!$C$24,Supuestos!$C$22,IF(A8&gt;=Supuestos!$E$8,$V$7,Supuestos!$C$22+($V$7-Supuestos!$C$22)*(A8-Supuestos!$C$24)/(Supuestos!$E$8-Supuestos!$C$24))))</f>
        <v>15</v>
      </c>
      <c r="C8" s="25" t="n">
        <f aca="false">B8*Supuestos!$E$6</f>
        <v>150</v>
      </c>
      <c r="D8" s="26" t="n">
        <f aca="false">C8*Supuestos!$C$42</f>
        <v>650</v>
      </c>
      <c r="E8" s="26" t="n">
        <f aca="false">IF(A8=0,0,MAX(Supuestos!$C$23,ROUNDUP(C8/Supuestos!$C$18,0)))</f>
        <v>6</v>
      </c>
      <c r="F8" s="25" t="n">
        <f aca="false">MAX(0,E8-IF(A7=0,Supuestos!$C$23,E7))+Supuestos!$C$19*E8</f>
        <v>0.18</v>
      </c>
      <c r="G8" s="26" t="n">
        <f aca="false">IF(A8=0,0,MAX(1,ROUNDUP(B8/Supuestos!$C$21,0)))</f>
        <v>1</v>
      </c>
      <c r="H8" s="27" t="n">
        <f aca="false">D8*(Supuestos!$C$14+Supuestos!$E$7)</f>
        <v>65000</v>
      </c>
      <c r="I8" s="27" t="n">
        <f aca="false">D8*Supuestos!$C$43</f>
        <v>48425</v>
      </c>
      <c r="J8" s="27" t="n">
        <f aca="false">IF(A8=0,0,Supuestos!$C$44+G8*Supuestos!$C$26)</f>
        <v>73000</v>
      </c>
      <c r="K8" s="28" t="n">
        <f aca="false">F8*Supuestos!$C$20</f>
        <v>630</v>
      </c>
      <c r="L8" s="27" t="n">
        <f aca="false">IF(A8=0,Supuestos!$C$45,0)</f>
        <v>0</v>
      </c>
      <c r="M8" s="28" t="n">
        <f aca="false">IF(A8=0,-L8,H8-I8-J8-K8)</f>
        <v>-57055</v>
      </c>
      <c r="N8" s="28" t="n">
        <f aca="false">N7+M8</f>
        <v>-340110</v>
      </c>
      <c r="O8" s="29" t="n">
        <f aca="false">1/(1+Supuestos!$C$46)^A8</f>
        <v>0.984240471709767</v>
      </c>
      <c r="P8" s="28" t="n">
        <f aca="false">M8*O8</f>
        <v>-56155.8401134007</v>
      </c>
      <c r="Q8" s="28" t="n">
        <f aca="false">Q7+P8</f>
        <v>-338759.474781769</v>
      </c>
      <c r="R8" s="30" t="n">
        <f aca="false">IF(AND(A8&gt;0,N8&gt;=0),1,0)</f>
        <v>0</v>
      </c>
      <c r="S8" s="30" t="n">
        <f aca="false">IF(AND(A8&gt;0,Q8&gt;=0),1,0)</f>
        <v>0</v>
      </c>
      <c r="U8" s="3" t="s">
        <v>123</v>
      </c>
      <c r="V8" s="21" t="n">
        <f aca="false">SUM(P6:P66)</f>
        <v>5955041.76026229</v>
      </c>
    </row>
    <row r="9" customFormat="false" ht="15" hidden="false" customHeight="false" outlineLevel="0" collapsed="false">
      <c r="A9" s="4" t="n">
        <v>3</v>
      </c>
      <c r="B9" s="31" t="n">
        <f aca="false">IF(A9=0,0,IF(A9&lt;=Supuestos!$C$24,Supuestos!$C$22,IF(A9&gt;=Supuestos!$E$8,$V$7,Supuestos!$C$22+($V$7-Supuestos!$C$22)*(A9-Supuestos!$C$24)/(Supuestos!$E$8-Supuestos!$C$24))))</f>
        <v>15</v>
      </c>
      <c r="C9" s="31" t="n">
        <f aca="false">B9*Supuestos!$E$6</f>
        <v>150</v>
      </c>
      <c r="D9" s="32" t="n">
        <f aca="false">C9*Supuestos!$C$42</f>
        <v>650</v>
      </c>
      <c r="E9" s="32" t="n">
        <f aca="false">IF(A9=0,0,MAX(Supuestos!$C$23,ROUNDUP(C9/Supuestos!$C$18,0)))</f>
        <v>6</v>
      </c>
      <c r="F9" s="31" t="n">
        <f aca="false">MAX(0,E9-IF(A8=0,Supuestos!$C$23,E8))+Supuestos!$C$19*E9</f>
        <v>0.18</v>
      </c>
      <c r="G9" s="32" t="n">
        <f aca="false">IF(A9=0,0,MAX(1,ROUNDUP(B9/Supuestos!$C$21,0)))</f>
        <v>1</v>
      </c>
      <c r="H9" s="33" t="n">
        <f aca="false">D9*(Supuestos!$C$14+Supuestos!$E$7)</f>
        <v>65000</v>
      </c>
      <c r="I9" s="33" t="n">
        <f aca="false">D9*Supuestos!$C$43</f>
        <v>48425</v>
      </c>
      <c r="J9" s="33" t="n">
        <f aca="false">IF(A9=0,0,Supuestos!$C$44+G9*Supuestos!$C$26)</f>
        <v>73000</v>
      </c>
      <c r="K9" s="21" t="n">
        <f aca="false">F9*Supuestos!$C$20</f>
        <v>630</v>
      </c>
      <c r="L9" s="33" t="n">
        <f aca="false">IF(A9=0,Supuestos!$C$45,0)</f>
        <v>0</v>
      </c>
      <c r="M9" s="21" t="n">
        <f aca="false">IF(A9=0,-L9,H9-I9-J9-K9)</f>
        <v>-57055</v>
      </c>
      <c r="N9" s="21" t="n">
        <f aca="false">N8+M9</f>
        <v>-397165</v>
      </c>
      <c r="O9" s="34" t="n">
        <f aca="false">1/(1+Supuestos!$C$46)^A9</f>
        <v>0.976454089676311</v>
      </c>
      <c r="P9" s="21" t="n">
        <f aca="false">M9*O9</f>
        <v>-55711.5880864819</v>
      </c>
      <c r="Q9" s="21" t="n">
        <f aca="false">Q8+P9</f>
        <v>-394471.062868251</v>
      </c>
      <c r="R9" s="35" t="n">
        <f aca="false">IF(AND(A9&gt;0,N9&gt;=0),1,0)</f>
        <v>0</v>
      </c>
      <c r="S9" s="35" t="n">
        <f aca="false">IF(AND(A9&gt;0,Q9&gt;=0),1,0)</f>
        <v>0</v>
      </c>
      <c r="U9" s="2" t="s">
        <v>124</v>
      </c>
      <c r="V9" s="36" t="n">
        <f aca="false">IFERROR(IRR(M6:M66,0.02),"No existe")</f>
        <v>0.112631602356045</v>
      </c>
    </row>
    <row r="10" customFormat="false" ht="15" hidden="false" customHeight="false" outlineLevel="0" collapsed="false">
      <c r="A10" s="24" t="n">
        <v>4</v>
      </c>
      <c r="B10" s="25" t="n">
        <f aca="false">IF(A10=0,0,IF(A10&lt;=Supuestos!$C$24,Supuestos!$C$22,IF(A10&gt;=Supuestos!$E$8,$V$7,Supuestos!$C$22+($V$7-Supuestos!$C$22)*(A10-Supuestos!$C$24)/(Supuestos!$E$8-Supuestos!$C$24))))</f>
        <v>15</v>
      </c>
      <c r="C10" s="25" t="n">
        <f aca="false">B10*Supuestos!$E$6</f>
        <v>150</v>
      </c>
      <c r="D10" s="26" t="n">
        <f aca="false">C10*Supuestos!$C$42</f>
        <v>650</v>
      </c>
      <c r="E10" s="26" t="n">
        <f aca="false">IF(A10=0,0,MAX(Supuestos!$C$23,ROUNDUP(C10/Supuestos!$C$18,0)))</f>
        <v>6</v>
      </c>
      <c r="F10" s="25" t="n">
        <f aca="false">MAX(0,E10-IF(A9=0,Supuestos!$C$23,E9))+Supuestos!$C$19*E10</f>
        <v>0.18</v>
      </c>
      <c r="G10" s="26" t="n">
        <f aca="false">IF(A10=0,0,MAX(1,ROUNDUP(B10/Supuestos!$C$21,0)))</f>
        <v>1</v>
      </c>
      <c r="H10" s="27" t="n">
        <f aca="false">D10*(Supuestos!$C$14+Supuestos!$E$7)</f>
        <v>65000</v>
      </c>
      <c r="I10" s="27" t="n">
        <f aca="false">D10*Supuestos!$C$43</f>
        <v>48425</v>
      </c>
      <c r="J10" s="27" t="n">
        <f aca="false">IF(A10=0,0,Supuestos!$C$44+G10*Supuestos!$C$26)</f>
        <v>73000</v>
      </c>
      <c r="K10" s="28" t="n">
        <f aca="false">F10*Supuestos!$C$20</f>
        <v>630</v>
      </c>
      <c r="L10" s="27" t="n">
        <f aca="false">IF(A10=0,Supuestos!$C$45,0)</f>
        <v>0</v>
      </c>
      <c r="M10" s="28" t="n">
        <f aca="false">IF(A10=0,-L10,H10-I10-J10-K10)</f>
        <v>-57055</v>
      </c>
      <c r="N10" s="28" t="n">
        <f aca="false">N9+M10</f>
        <v>-454220</v>
      </c>
      <c r="O10" s="29" t="n">
        <f aca="false">1/(1+Supuestos!$C$46)^A10</f>
        <v>0.968729306151464</v>
      </c>
      <c r="P10" s="28" t="n">
        <f aca="false">M10*O10</f>
        <v>-55270.8505624718</v>
      </c>
      <c r="Q10" s="28" t="n">
        <f aca="false">Q9+P10</f>
        <v>-449741.913430723</v>
      </c>
      <c r="R10" s="30" t="n">
        <f aca="false">IF(AND(A10&gt;0,N10&gt;=0),1,0)</f>
        <v>0</v>
      </c>
      <c r="S10" s="30" t="n">
        <f aca="false">IF(AND(A10&gt;0,Q10&gt;=0),1,0)</f>
        <v>0</v>
      </c>
      <c r="U10" s="3" t="s">
        <v>125</v>
      </c>
      <c r="V10" s="13" t="n">
        <f aca="false">IFERROR((1+V9)^12-1,"No existe")</f>
        <v>2.59928879059214</v>
      </c>
    </row>
    <row r="11" customFormat="false" ht="15" hidden="false" customHeight="false" outlineLevel="0" collapsed="false">
      <c r="A11" s="4" t="n">
        <v>5</v>
      </c>
      <c r="B11" s="31" t="n">
        <f aca="false">IF(A11=0,0,IF(A11&lt;=Supuestos!$C$24,Supuestos!$C$22,IF(A11&gt;=Supuestos!$E$8,$V$7,Supuestos!$C$22+($V$7-Supuestos!$C$22)*(A11-Supuestos!$C$24)/(Supuestos!$E$8-Supuestos!$C$24))))</f>
        <v>15</v>
      </c>
      <c r="C11" s="31" t="n">
        <f aca="false">B11*Supuestos!$E$6</f>
        <v>150</v>
      </c>
      <c r="D11" s="32" t="n">
        <f aca="false">C11*Supuestos!$C$42</f>
        <v>650</v>
      </c>
      <c r="E11" s="32" t="n">
        <f aca="false">IF(A11=0,0,MAX(Supuestos!$C$23,ROUNDUP(C11/Supuestos!$C$18,0)))</f>
        <v>6</v>
      </c>
      <c r="F11" s="31" t="n">
        <f aca="false">MAX(0,E11-IF(A10=0,Supuestos!$C$23,E10))+Supuestos!$C$19*E11</f>
        <v>0.18</v>
      </c>
      <c r="G11" s="32" t="n">
        <f aca="false">IF(A11=0,0,MAX(1,ROUNDUP(B11/Supuestos!$C$21,0)))</f>
        <v>1</v>
      </c>
      <c r="H11" s="33" t="n">
        <f aca="false">D11*(Supuestos!$C$14+Supuestos!$E$7)</f>
        <v>65000</v>
      </c>
      <c r="I11" s="33" t="n">
        <f aca="false">D11*Supuestos!$C$43</f>
        <v>48425</v>
      </c>
      <c r="J11" s="33" t="n">
        <f aca="false">IF(A11=0,0,Supuestos!$C$44+G11*Supuestos!$C$26)</f>
        <v>73000</v>
      </c>
      <c r="K11" s="21" t="n">
        <f aca="false">F11*Supuestos!$C$20</f>
        <v>630</v>
      </c>
      <c r="L11" s="33" t="n">
        <f aca="false">IF(A11=0,Supuestos!$C$45,0)</f>
        <v>0</v>
      </c>
      <c r="M11" s="21" t="n">
        <f aca="false">IF(A11=0,-L11,H11-I11-J11-K11)</f>
        <v>-57055</v>
      </c>
      <c r="N11" s="21" t="n">
        <f aca="false">N10+M11</f>
        <v>-511275</v>
      </c>
      <c r="O11" s="34" t="n">
        <f aca="false">1/(1+Supuestos!$C$46)^A11</f>
        <v>0.961065633825943</v>
      </c>
      <c r="P11" s="21" t="n">
        <f aca="false">M11*O11</f>
        <v>-54833.5997379392</v>
      </c>
      <c r="Q11" s="21" t="n">
        <f aca="false">Q10+P11</f>
        <v>-504575.513168662</v>
      </c>
      <c r="R11" s="35" t="n">
        <f aca="false">IF(AND(A11&gt;0,N11&gt;=0),1,0)</f>
        <v>0</v>
      </c>
      <c r="S11" s="35" t="n">
        <f aca="false">IF(AND(A11&gt;0,Q11&gt;=0),1,0)</f>
        <v>0</v>
      </c>
      <c r="U11" s="3" t="s">
        <v>126</v>
      </c>
      <c r="V11" s="32" t="n">
        <f aca="false">IFERROR(INDEX(A6:A66,MATCH(1,R6:R66,0)),"No se recupera")</f>
        <v>15</v>
      </c>
    </row>
    <row r="12" customFormat="false" ht="15" hidden="false" customHeight="false" outlineLevel="0" collapsed="false">
      <c r="A12" s="24" t="n">
        <v>6</v>
      </c>
      <c r="B12" s="25" t="n">
        <f aca="false">IF(A12=0,0,IF(A12&lt;=Supuestos!$C$24,Supuestos!$C$22,IF(A12&gt;=Supuestos!$E$8,$V$7,Supuestos!$C$22+($V$7-Supuestos!$C$22)*(A12-Supuestos!$C$24)/(Supuestos!$E$8-Supuestos!$C$24))))</f>
        <v>15</v>
      </c>
      <c r="C12" s="25" t="n">
        <f aca="false">B12*Supuestos!$E$6</f>
        <v>150</v>
      </c>
      <c r="D12" s="26" t="n">
        <f aca="false">C12*Supuestos!$C$42</f>
        <v>650</v>
      </c>
      <c r="E12" s="26" t="n">
        <f aca="false">IF(A12=0,0,MAX(Supuestos!$C$23,ROUNDUP(C12/Supuestos!$C$18,0)))</f>
        <v>6</v>
      </c>
      <c r="F12" s="25" t="n">
        <f aca="false">MAX(0,E12-IF(A11=0,Supuestos!$C$23,E11))+Supuestos!$C$19*E12</f>
        <v>0.18</v>
      </c>
      <c r="G12" s="26" t="n">
        <f aca="false">IF(A12=0,0,MAX(1,ROUNDUP(B12/Supuestos!$C$21,0)))</f>
        <v>1</v>
      </c>
      <c r="H12" s="27" t="n">
        <f aca="false">D12*(Supuestos!$C$14+Supuestos!$E$7)</f>
        <v>65000</v>
      </c>
      <c r="I12" s="27" t="n">
        <f aca="false">D12*Supuestos!$C$43</f>
        <v>48425</v>
      </c>
      <c r="J12" s="27" t="n">
        <f aca="false">IF(A12=0,0,Supuestos!$C$44+G12*Supuestos!$C$26)</f>
        <v>73000</v>
      </c>
      <c r="K12" s="28" t="n">
        <f aca="false">F12*Supuestos!$C$20</f>
        <v>630</v>
      </c>
      <c r="L12" s="27" t="n">
        <f aca="false">IF(A12=0,Supuestos!$C$45,0)</f>
        <v>0</v>
      </c>
      <c r="M12" s="28" t="n">
        <f aca="false">IF(A12=0,-L12,H12-I12-J12-K12)</f>
        <v>-57055</v>
      </c>
      <c r="N12" s="28" t="n">
        <f aca="false">N11+M12</f>
        <v>-568330</v>
      </c>
      <c r="O12" s="29" t="n">
        <f aca="false">1/(1+Supuestos!$C$46)^A12</f>
        <v>0.953462589245592</v>
      </c>
      <c r="P12" s="28" t="n">
        <f aca="false">M12*O12</f>
        <v>-54399.8080294073</v>
      </c>
      <c r="Q12" s="28" t="n">
        <f aca="false">Q11+P12</f>
        <v>-558975.321198069</v>
      </c>
      <c r="R12" s="30" t="n">
        <f aca="false">IF(AND(A12&gt;0,N12&gt;=0),1,0)</f>
        <v>0</v>
      </c>
      <c r="S12" s="30" t="n">
        <f aca="false">IF(AND(A12&gt;0,Q12&gt;=0),1,0)</f>
        <v>0</v>
      </c>
      <c r="U12" s="2" t="s">
        <v>127</v>
      </c>
      <c r="V12" s="32" t="n">
        <f aca="false">IFERROR(INDEX(A6:A66,MATCH(1,S6:S66,0)),"No se recupera")</f>
        <v>15</v>
      </c>
    </row>
    <row r="13" customFormat="false" ht="15" hidden="false" customHeight="false" outlineLevel="0" collapsed="false">
      <c r="A13" s="4" t="n">
        <v>7</v>
      </c>
      <c r="B13" s="31" t="n">
        <f aca="false">IF(A13=0,0,IF(A13&lt;=Supuestos!$C$24,Supuestos!$C$22,IF(A13&gt;=Supuestos!$E$8,$V$7,Supuestos!$C$22+($V$7-Supuestos!$C$22)*(A13-Supuestos!$C$24)/(Supuestos!$E$8-Supuestos!$C$24))))</f>
        <v>62.7133333333333</v>
      </c>
      <c r="C13" s="31" t="n">
        <f aca="false">B13*Supuestos!$E$6</f>
        <v>627.133333333333</v>
      </c>
      <c r="D13" s="32" t="n">
        <f aca="false">C13*Supuestos!$C$42</f>
        <v>2717.57777777778</v>
      </c>
      <c r="E13" s="32" t="n">
        <f aca="false">IF(A13=0,0,MAX(Supuestos!$C$23,ROUNDUP(C13/Supuestos!$C$18,0)))</f>
        <v>21</v>
      </c>
      <c r="F13" s="31" t="n">
        <f aca="false">MAX(0,E13-IF(A12=0,Supuestos!$C$23,E12))+Supuestos!$C$19*E13</f>
        <v>15.63</v>
      </c>
      <c r="G13" s="32" t="n">
        <f aca="false">IF(A13=0,0,MAX(1,ROUNDUP(B13/Supuestos!$C$21,0)))</f>
        <v>1</v>
      </c>
      <c r="H13" s="33" t="n">
        <f aca="false">D13*(Supuestos!$C$14+Supuestos!$E$7)</f>
        <v>271757.777777778</v>
      </c>
      <c r="I13" s="33" t="n">
        <f aca="false">D13*Supuestos!$C$43</f>
        <v>202459.544444444</v>
      </c>
      <c r="J13" s="33" t="n">
        <f aca="false">IF(A13=0,0,Supuestos!$C$44+G13*Supuestos!$C$26)</f>
        <v>73000</v>
      </c>
      <c r="K13" s="21" t="n">
        <f aca="false">F13*Supuestos!$C$20</f>
        <v>54705</v>
      </c>
      <c r="L13" s="33" t="n">
        <f aca="false">IF(A13=0,Supuestos!$C$45,0)</f>
        <v>0</v>
      </c>
      <c r="M13" s="21" t="n">
        <f aca="false">IF(A13=0,-L13,H13-I13-J13-K13)</f>
        <v>-58406.7666666667</v>
      </c>
      <c r="N13" s="21" t="n">
        <f aca="false">N12+M13</f>
        <v>-626736.766666667</v>
      </c>
      <c r="O13" s="34" t="n">
        <f aca="false">1/(1+Supuestos!$C$46)^A13</f>
        <v>0.945919692780892</v>
      </c>
      <c r="P13" s="21" t="n">
        <f aca="false">M13*O13</f>
        <v>-55248.1107816586</v>
      </c>
      <c r="Q13" s="21" t="n">
        <f aca="false">Q12+P13</f>
        <v>-614223.431979728</v>
      </c>
      <c r="R13" s="35" t="n">
        <f aca="false">IF(AND(A13&gt;0,N13&gt;=0),1,0)</f>
        <v>0</v>
      </c>
      <c r="S13" s="35" t="n">
        <f aca="false">IF(AND(A13&gt;0,Q13&gt;=0),1,0)</f>
        <v>0</v>
      </c>
      <c r="U13" s="2" t="s">
        <v>128</v>
      </c>
      <c r="V13" s="21" t="n">
        <f aca="false">J66</f>
        <v>145900</v>
      </c>
    </row>
    <row r="14" customFormat="false" ht="15" hidden="false" customHeight="false" outlineLevel="0" collapsed="false">
      <c r="A14" s="24" t="n">
        <v>8</v>
      </c>
      <c r="B14" s="25" t="n">
        <f aca="false">IF(A14=0,0,IF(A14&lt;=Supuestos!$C$24,Supuestos!$C$22,IF(A14&gt;=Supuestos!$E$8,$V$7,Supuestos!$C$22+($V$7-Supuestos!$C$22)*(A14-Supuestos!$C$24)/(Supuestos!$E$8-Supuestos!$C$24))))</f>
        <v>110.426666666667</v>
      </c>
      <c r="C14" s="25" t="n">
        <f aca="false">B14*Supuestos!$E$6</f>
        <v>1104.26666666667</v>
      </c>
      <c r="D14" s="26" t="n">
        <f aca="false">C14*Supuestos!$C$42</f>
        <v>4785.15555555556</v>
      </c>
      <c r="E14" s="26" t="n">
        <f aca="false">IF(A14=0,0,MAX(Supuestos!$C$23,ROUNDUP(C14/Supuestos!$C$18,0)))</f>
        <v>37</v>
      </c>
      <c r="F14" s="25" t="n">
        <f aca="false">MAX(0,E14-IF(A13=0,Supuestos!$C$23,E13))+Supuestos!$C$19*E14</f>
        <v>17.11</v>
      </c>
      <c r="G14" s="26" t="n">
        <f aca="false">IF(A14=0,0,MAX(1,ROUNDUP(B14/Supuestos!$C$21,0)))</f>
        <v>2</v>
      </c>
      <c r="H14" s="27" t="n">
        <f aca="false">D14*(Supuestos!$C$14+Supuestos!$E$7)</f>
        <v>478515.555555556</v>
      </c>
      <c r="I14" s="27" t="n">
        <f aca="false">D14*Supuestos!$C$43</f>
        <v>356494.088888889</v>
      </c>
      <c r="J14" s="27" t="n">
        <f aca="false">IF(A14=0,0,Supuestos!$C$44+G14*Supuestos!$C$26)</f>
        <v>97300</v>
      </c>
      <c r="K14" s="28" t="n">
        <f aca="false">F14*Supuestos!$C$20</f>
        <v>59885</v>
      </c>
      <c r="L14" s="27" t="n">
        <f aca="false">IF(A14=0,Supuestos!$C$45,0)</f>
        <v>0</v>
      </c>
      <c r="M14" s="28" t="n">
        <f aca="false">IF(A14=0,-L14,H14-I14-J14-K14)</f>
        <v>-35163.5333333333</v>
      </c>
      <c r="N14" s="28" t="n">
        <f aca="false">N13+M14</f>
        <v>-661900.3</v>
      </c>
      <c r="O14" s="29" t="n">
        <f aca="false">1/(1+Supuestos!$C$46)^A14</f>
        <v>0.938436468596697</v>
      </c>
      <c r="P14" s="28" t="n">
        <f aca="false">M14*O14</f>
        <v>-32998.7420447156</v>
      </c>
      <c r="Q14" s="28" t="n">
        <f aca="false">Q13+P14</f>
        <v>-647222.174024443</v>
      </c>
      <c r="R14" s="30" t="n">
        <f aca="false">IF(AND(A14&gt;0,N14&gt;=0),1,0)</f>
        <v>0</v>
      </c>
      <c r="S14" s="30" t="n">
        <f aca="false">IF(AND(A14&gt;0,Q14&gt;=0),1,0)</f>
        <v>0</v>
      </c>
      <c r="U14" s="3" t="s">
        <v>129</v>
      </c>
      <c r="V14" s="32" t="n">
        <f aca="false">IF(V6&gt;0,V13/V6,"No existe")</f>
        <v>5721.56862745098</v>
      </c>
    </row>
    <row r="15" customFormat="false" ht="15" hidden="false" customHeight="false" outlineLevel="0" collapsed="false">
      <c r="A15" s="4" t="n">
        <v>9</v>
      </c>
      <c r="B15" s="31" t="n">
        <f aca="false">IF(A15=0,0,IF(A15&lt;=Supuestos!$C$24,Supuestos!$C$22,IF(A15&gt;=Supuestos!$E$8,$V$7,Supuestos!$C$22+($V$7-Supuestos!$C$22)*(A15-Supuestos!$C$24)/(Supuestos!$E$8-Supuestos!$C$24))))</f>
        <v>158.14</v>
      </c>
      <c r="C15" s="31" t="n">
        <f aca="false">B15*Supuestos!$E$6</f>
        <v>1581.4</v>
      </c>
      <c r="D15" s="32" t="n">
        <f aca="false">C15*Supuestos!$C$42</f>
        <v>6852.73333333333</v>
      </c>
      <c r="E15" s="32" t="n">
        <f aca="false">IF(A15=0,0,MAX(Supuestos!$C$23,ROUNDUP(C15/Supuestos!$C$18,0)))</f>
        <v>53</v>
      </c>
      <c r="F15" s="31" t="n">
        <f aca="false">MAX(0,E15-IF(A14=0,Supuestos!$C$23,E14))+Supuestos!$C$19*E15</f>
        <v>17.59</v>
      </c>
      <c r="G15" s="32" t="n">
        <f aca="false">IF(A15=0,0,MAX(1,ROUNDUP(B15/Supuestos!$C$21,0)))</f>
        <v>2</v>
      </c>
      <c r="H15" s="33" t="n">
        <f aca="false">D15*(Supuestos!$C$14+Supuestos!$E$7)</f>
        <v>685273.333333333</v>
      </c>
      <c r="I15" s="33" t="n">
        <f aca="false">D15*Supuestos!$C$43</f>
        <v>510528.633333333</v>
      </c>
      <c r="J15" s="33" t="n">
        <f aca="false">IF(A15=0,0,Supuestos!$C$44+G15*Supuestos!$C$26)</f>
        <v>97300</v>
      </c>
      <c r="K15" s="21" t="n">
        <f aca="false">F15*Supuestos!$C$20</f>
        <v>61565</v>
      </c>
      <c r="L15" s="33" t="n">
        <f aca="false">IF(A15=0,Supuestos!$C$45,0)</f>
        <v>0</v>
      </c>
      <c r="M15" s="21" t="n">
        <f aca="false">IF(A15=0,-L15,H15-I15-J15-K15)</f>
        <v>15879.7</v>
      </c>
      <c r="N15" s="21" t="n">
        <f aca="false">N14+M15</f>
        <v>-646020.6</v>
      </c>
      <c r="O15" s="34" t="n">
        <f aca="false">1/(1+Supuestos!$C$46)^A15</f>
        <v>0.931012444622223</v>
      </c>
      <c r="P15" s="21" t="n">
        <f aca="false">M15*O15</f>
        <v>14784.1983168675</v>
      </c>
      <c r="Q15" s="21" t="n">
        <f aca="false">Q14+P15</f>
        <v>-632437.975707576</v>
      </c>
      <c r="R15" s="35" t="n">
        <f aca="false">IF(AND(A15&gt;0,N15&gt;=0),1,0)</f>
        <v>0</v>
      </c>
      <c r="S15" s="35" t="n">
        <f aca="false">IF(AND(A15&gt;0,Q15&gt;=0),1,0)</f>
        <v>0</v>
      </c>
      <c r="U15" s="2" t="s">
        <v>130</v>
      </c>
      <c r="V15" s="31" t="n">
        <f aca="false">IF(V6&gt;0,V14/Supuestos!$C$42/Supuestos!$E$6,"No existe")</f>
        <v>132.036199095023</v>
      </c>
    </row>
    <row r="16" customFormat="false" ht="15" hidden="false" customHeight="false" outlineLevel="0" collapsed="false">
      <c r="A16" s="24" t="n">
        <v>10</v>
      </c>
      <c r="B16" s="25" t="n">
        <f aca="false">IF(A16=0,0,IF(A16&lt;=Supuestos!$C$24,Supuestos!$C$22,IF(A16&gt;=Supuestos!$E$8,$V$7,Supuestos!$C$22+($V$7-Supuestos!$C$22)*(A16-Supuestos!$C$24)/(Supuestos!$E$8-Supuestos!$C$24))))</f>
        <v>205.853333333333</v>
      </c>
      <c r="C16" s="25" t="n">
        <f aca="false">B16*Supuestos!$E$6</f>
        <v>2058.53333333333</v>
      </c>
      <c r="D16" s="26" t="n">
        <f aca="false">C16*Supuestos!$C$42</f>
        <v>8920.31111111111</v>
      </c>
      <c r="E16" s="26" t="n">
        <f aca="false">IF(A16=0,0,MAX(Supuestos!$C$23,ROUNDUP(C16/Supuestos!$C$18,0)))</f>
        <v>69</v>
      </c>
      <c r="F16" s="25" t="n">
        <f aca="false">MAX(0,E16-IF(A15=0,Supuestos!$C$23,E15))+Supuestos!$C$19*E16</f>
        <v>18.07</v>
      </c>
      <c r="G16" s="26" t="n">
        <f aca="false">IF(A16=0,0,MAX(1,ROUNDUP(B16/Supuestos!$C$21,0)))</f>
        <v>3</v>
      </c>
      <c r="H16" s="27" t="n">
        <f aca="false">D16*(Supuestos!$C$14+Supuestos!$E$7)</f>
        <v>892031.111111111</v>
      </c>
      <c r="I16" s="27" t="n">
        <f aca="false">D16*Supuestos!$C$43</f>
        <v>664563.177777778</v>
      </c>
      <c r="J16" s="27" t="n">
        <f aca="false">IF(A16=0,0,Supuestos!$C$44+G16*Supuestos!$C$26)</f>
        <v>121600</v>
      </c>
      <c r="K16" s="28" t="n">
        <f aca="false">F16*Supuestos!$C$20</f>
        <v>63245</v>
      </c>
      <c r="L16" s="27" t="n">
        <f aca="false">IF(A16=0,Supuestos!$C$45,0)</f>
        <v>0</v>
      </c>
      <c r="M16" s="28" t="n">
        <f aca="false">IF(A16=0,-L16,H16-I16-J16-K16)</f>
        <v>42622.9333333334</v>
      </c>
      <c r="N16" s="28" t="n">
        <f aca="false">N15+M16</f>
        <v>-603397.666666667</v>
      </c>
      <c r="O16" s="29" t="n">
        <f aca="false">1/(1+Supuestos!$C$46)^A16</f>
        <v>0.923647152521261</v>
      </c>
      <c r="P16" s="28" t="n">
        <f aca="false">M16*O16</f>
        <v>39368.5510054369</v>
      </c>
      <c r="Q16" s="28" t="n">
        <f aca="false">Q15+P16</f>
        <v>-593069.424702139</v>
      </c>
      <c r="R16" s="30" t="n">
        <f aca="false">IF(AND(A16&gt;0,N16&gt;=0),1,0)</f>
        <v>0</v>
      </c>
      <c r="S16" s="30" t="n">
        <f aca="false">IF(AND(A16&gt;0,Q16&gt;=0),1,0)</f>
        <v>0</v>
      </c>
      <c r="U16" s="2" t="s">
        <v>131</v>
      </c>
      <c r="V16" s="21" t="n">
        <f aca="false">N66</f>
        <v>8054029.10000001</v>
      </c>
    </row>
    <row r="17" customFormat="false" ht="15" hidden="false" customHeight="false" outlineLevel="0" collapsed="false">
      <c r="A17" s="4" t="n">
        <v>11</v>
      </c>
      <c r="B17" s="31" t="n">
        <f aca="false">IF(A17=0,0,IF(A17&lt;=Supuestos!$C$24,Supuestos!$C$22,IF(A17&gt;=Supuestos!$E$8,$V$7,Supuestos!$C$22+($V$7-Supuestos!$C$22)*(A17-Supuestos!$C$24)/(Supuestos!$E$8-Supuestos!$C$24))))</f>
        <v>253.566666666667</v>
      </c>
      <c r="C17" s="31" t="n">
        <f aca="false">B17*Supuestos!$E$6</f>
        <v>2535.66666666667</v>
      </c>
      <c r="D17" s="32" t="n">
        <f aca="false">C17*Supuestos!$C$42</f>
        <v>10987.8888888889</v>
      </c>
      <c r="E17" s="32" t="n">
        <f aca="false">IF(A17=0,0,MAX(Supuestos!$C$23,ROUNDUP(C17/Supuestos!$C$18,0)))</f>
        <v>85</v>
      </c>
      <c r="F17" s="31" t="n">
        <f aca="false">MAX(0,E17-IF(A16=0,Supuestos!$C$23,E16))+Supuestos!$C$19*E17</f>
        <v>18.55</v>
      </c>
      <c r="G17" s="32" t="n">
        <f aca="false">IF(A17=0,0,MAX(1,ROUNDUP(B17/Supuestos!$C$21,0)))</f>
        <v>4</v>
      </c>
      <c r="H17" s="33" t="n">
        <f aca="false">D17*(Supuestos!$C$14+Supuestos!$E$7)</f>
        <v>1098788.88888889</v>
      </c>
      <c r="I17" s="33" t="n">
        <f aca="false">D17*Supuestos!$C$43</f>
        <v>818597.722222222</v>
      </c>
      <c r="J17" s="33" t="n">
        <f aca="false">IF(A17=0,0,Supuestos!$C$44+G17*Supuestos!$C$26)</f>
        <v>145900</v>
      </c>
      <c r="K17" s="21" t="n">
        <f aca="false">F17*Supuestos!$C$20</f>
        <v>64925</v>
      </c>
      <c r="L17" s="33" t="n">
        <f aca="false">IF(A17=0,Supuestos!$C$45,0)</f>
        <v>0</v>
      </c>
      <c r="M17" s="21" t="n">
        <f aca="false">IF(A17=0,-L17,H17-I17-J17-K17)</f>
        <v>69366.1666666665</v>
      </c>
      <c r="N17" s="21" t="n">
        <f aca="false">N16+M17</f>
        <v>-534031.5</v>
      </c>
      <c r="O17" s="34" t="n">
        <f aca="false">1/(1+Supuestos!$C$46)^A17</f>
        <v>0.916340127662639</v>
      </c>
      <c r="P17" s="21" t="n">
        <f aca="false">M17*O17</f>
        <v>63563.0020188011</v>
      </c>
      <c r="Q17" s="21" t="n">
        <f aca="false">Q16+P17</f>
        <v>-529506.422683338</v>
      </c>
      <c r="R17" s="35" t="n">
        <f aca="false">IF(AND(A17&gt;0,N17&gt;=0),1,0)</f>
        <v>0</v>
      </c>
      <c r="S17" s="35" t="n">
        <f aca="false">IF(AND(A17&gt;0,Q17&gt;=0),1,0)</f>
        <v>0</v>
      </c>
      <c r="U17" s="2" t="s">
        <v>132</v>
      </c>
      <c r="V17" s="21" t="n">
        <f aca="false">L6</f>
        <v>226000</v>
      </c>
    </row>
    <row r="18" customFormat="false" ht="15" hidden="false" customHeight="false" outlineLevel="0" collapsed="false">
      <c r="A18" s="24" t="n">
        <v>12</v>
      </c>
      <c r="B18" s="25" t="n">
        <f aca="false">IF(A18=0,0,IF(A18&lt;=Supuestos!$C$24,Supuestos!$C$22,IF(A18&gt;=Supuestos!$E$8,$V$7,Supuestos!$C$22+($V$7-Supuestos!$C$22)*(A18-Supuestos!$C$24)/(Supuestos!$E$8-Supuestos!$C$24))))</f>
        <v>301.28</v>
      </c>
      <c r="C18" s="25" t="n">
        <f aca="false">B18*Supuestos!$E$6</f>
        <v>3012.8</v>
      </c>
      <c r="D18" s="26" t="n">
        <f aca="false">C18*Supuestos!$C$42</f>
        <v>13055.4666666667</v>
      </c>
      <c r="E18" s="26" t="n">
        <f aca="false">IF(A18=0,0,MAX(Supuestos!$C$23,ROUNDUP(C18/Supuestos!$C$18,0)))</f>
        <v>101</v>
      </c>
      <c r="F18" s="25" t="n">
        <f aca="false">MAX(0,E18-IF(A17=0,Supuestos!$C$23,E17))+Supuestos!$C$19*E18</f>
        <v>19.03</v>
      </c>
      <c r="G18" s="26" t="n">
        <f aca="false">IF(A18=0,0,MAX(1,ROUNDUP(B18/Supuestos!$C$21,0)))</f>
        <v>4</v>
      </c>
      <c r="H18" s="27" t="n">
        <f aca="false">D18*(Supuestos!$C$14+Supuestos!$E$7)</f>
        <v>1305546.66666667</v>
      </c>
      <c r="I18" s="27" t="n">
        <f aca="false">D18*Supuestos!$C$43</f>
        <v>972632.266666667</v>
      </c>
      <c r="J18" s="27" t="n">
        <f aca="false">IF(A18=0,0,Supuestos!$C$44+G18*Supuestos!$C$26)</f>
        <v>145900</v>
      </c>
      <c r="K18" s="28" t="n">
        <f aca="false">F18*Supuestos!$C$20</f>
        <v>66605</v>
      </c>
      <c r="L18" s="27" t="n">
        <f aca="false">IF(A18=0,Supuestos!$C$45,0)</f>
        <v>0</v>
      </c>
      <c r="M18" s="28" t="n">
        <f aca="false">IF(A18=0,-L18,H18-I18-J18-K18)</f>
        <v>120409.4</v>
      </c>
      <c r="N18" s="28" t="n">
        <f aca="false">N17+M18</f>
        <v>-413622.1</v>
      </c>
      <c r="O18" s="29" t="n">
        <f aca="false">1/(1+Supuestos!$C$46)^A18</f>
        <v>0.909090909090909</v>
      </c>
      <c r="P18" s="28" t="n">
        <f aca="false">M18*O18</f>
        <v>109463.090909091</v>
      </c>
      <c r="Q18" s="28" t="n">
        <f aca="false">Q17+P18</f>
        <v>-420043.331774247</v>
      </c>
      <c r="R18" s="30" t="n">
        <f aca="false">IF(AND(A18&gt;0,N18&gt;=0),1,0)</f>
        <v>0</v>
      </c>
      <c r="S18" s="30" t="n">
        <f aca="false">IF(AND(A18&gt;0,Q18&gt;=0),1,0)</f>
        <v>0</v>
      </c>
      <c r="U18" s="2" t="s">
        <v>133</v>
      </c>
      <c r="V18" s="21" t="n">
        <f aca="false">3*(J7+I7)</f>
        <v>364275</v>
      </c>
    </row>
    <row r="19" customFormat="false" ht="15" hidden="false" customHeight="false" outlineLevel="0" collapsed="false">
      <c r="A19" s="4" t="n">
        <v>13</v>
      </c>
      <c r="B19" s="31" t="n">
        <f aca="false">IF(A19=0,0,IF(A19&lt;=Supuestos!$C$24,Supuestos!$C$22,IF(A19&gt;=Supuestos!$E$8,$V$7,Supuestos!$C$22+($V$7-Supuestos!$C$22)*(A19-Supuestos!$C$24)/(Supuestos!$E$8-Supuestos!$C$24))))</f>
        <v>301.28</v>
      </c>
      <c r="C19" s="31" t="n">
        <f aca="false">B19*Supuestos!$E$6</f>
        <v>3012.8</v>
      </c>
      <c r="D19" s="32" t="n">
        <f aca="false">C19*Supuestos!$C$42</f>
        <v>13055.4666666667</v>
      </c>
      <c r="E19" s="32" t="n">
        <f aca="false">IF(A19=0,0,MAX(Supuestos!$C$23,ROUNDUP(C19/Supuestos!$C$18,0)))</f>
        <v>101</v>
      </c>
      <c r="F19" s="31" t="n">
        <f aca="false">MAX(0,E19-IF(A18=0,Supuestos!$C$23,E18))+Supuestos!$C$19*E19</f>
        <v>3.03</v>
      </c>
      <c r="G19" s="32" t="n">
        <f aca="false">IF(A19=0,0,MAX(1,ROUNDUP(B19/Supuestos!$C$21,0)))</f>
        <v>4</v>
      </c>
      <c r="H19" s="33" t="n">
        <f aca="false">D19*(Supuestos!$C$14+Supuestos!$E$7)</f>
        <v>1305546.66666667</v>
      </c>
      <c r="I19" s="33" t="n">
        <f aca="false">D19*Supuestos!$C$43</f>
        <v>972632.266666667</v>
      </c>
      <c r="J19" s="33" t="n">
        <f aca="false">IF(A19=0,0,Supuestos!$C$44+G19*Supuestos!$C$26)</f>
        <v>145900</v>
      </c>
      <c r="K19" s="21" t="n">
        <f aca="false">F19*Supuestos!$C$20</f>
        <v>10605</v>
      </c>
      <c r="L19" s="33" t="n">
        <f aca="false">IF(A19=0,Supuestos!$C$45,0)</f>
        <v>0</v>
      </c>
      <c r="M19" s="21" t="n">
        <f aca="false">IF(A19=0,-L19,H19-I19-J19-K19)</f>
        <v>176409.4</v>
      </c>
      <c r="N19" s="21" t="n">
        <f aca="false">N18+M19</f>
        <v>-237212.7</v>
      </c>
      <c r="O19" s="34" t="n">
        <f aca="false">1/(1+Supuestos!$C$46)^A19</f>
        <v>0.901899039497264</v>
      </c>
      <c r="P19" s="21" t="n">
        <f aca="false">M19*O19</f>
        <v>159103.468418289</v>
      </c>
      <c r="Q19" s="21" t="n">
        <f aca="false">Q18+P19</f>
        <v>-260939.863355958</v>
      </c>
      <c r="R19" s="35" t="n">
        <f aca="false">IF(AND(A19&gt;0,N19&gt;=0),1,0)</f>
        <v>0</v>
      </c>
      <c r="S19" s="35" t="n">
        <f aca="false">IF(AND(A19&gt;0,Q19&gt;=0),1,0)</f>
        <v>0</v>
      </c>
      <c r="U19" s="2" t="s">
        <v>78</v>
      </c>
      <c r="V19" s="21" t="n">
        <f aca="false">Supuestos!$C$36*(V17+V18)</f>
        <v>59027.5</v>
      </c>
    </row>
    <row r="20" customFormat="false" ht="15" hidden="false" customHeight="false" outlineLevel="0" collapsed="false">
      <c r="A20" s="24" t="n">
        <v>14</v>
      </c>
      <c r="B20" s="25" t="n">
        <f aca="false">IF(A20=0,0,IF(A20&lt;=Supuestos!$C$24,Supuestos!$C$22,IF(A20&gt;=Supuestos!$E$8,$V$7,Supuestos!$C$22+($V$7-Supuestos!$C$22)*(A20-Supuestos!$C$24)/(Supuestos!$E$8-Supuestos!$C$24))))</f>
        <v>301.28</v>
      </c>
      <c r="C20" s="25" t="n">
        <f aca="false">B20*Supuestos!$E$6</f>
        <v>3012.8</v>
      </c>
      <c r="D20" s="26" t="n">
        <f aca="false">C20*Supuestos!$C$42</f>
        <v>13055.4666666667</v>
      </c>
      <c r="E20" s="26" t="n">
        <f aca="false">IF(A20=0,0,MAX(Supuestos!$C$23,ROUNDUP(C20/Supuestos!$C$18,0)))</f>
        <v>101</v>
      </c>
      <c r="F20" s="25" t="n">
        <f aca="false">MAX(0,E20-IF(A19=0,Supuestos!$C$23,E19))+Supuestos!$C$19*E20</f>
        <v>3.03</v>
      </c>
      <c r="G20" s="26" t="n">
        <f aca="false">IF(A20=0,0,MAX(1,ROUNDUP(B20/Supuestos!$C$21,0)))</f>
        <v>4</v>
      </c>
      <c r="H20" s="27" t="n">
        <f aca="false">D20*(Supuestos!$C$14+Supuestos!$E$7)</f>
        <v>1305546.66666667</v>
      </c>
      <c r="I20" s="27" t="n">
        <f aca="false">D20*Supuestos!$C$43</f>
        <v>972632.266666667</v>
      </c>
      <c r="J20" s="27" t="n">
        <f aca="false">IF(A20=0,0,Supuestos!$C$44+G20*Supuestos!$C$26)</f>
        <v>145900</v>
      </c>
      <c r="K20" s="28" t="n">
        <f aca="false">F20*Supuestos!$C$20</f>
        <v>10605</v>
      </c>
      <c r="L20" s="27" t="n">
        <f aca="false">IF(A20=0,Supuestos!$C$45,0)</f>
        <v>0</v>
      </c>
      <c r="M20" s="28" t="n">
        <f aca="false">IF(A20=0,-L20,H20-I20-J20-K20)</f>
        <v>176409.4</v>
      </c>
      <c r="N20" s="28" t="n">
        <f aca="false">N19+M20</f>
        <v>-60803.2999999999</v>
      </c>
      <c r="O20" s="29" t="n">
        <f aca="false">1/(1+Supuestos!$C$46)^A20</f>
        <v>0.894764065190697</v>
      </c>
      <c r="P20" s="28" t="n">
        <f aca="false">M20*O20</f>
        <v>157844.791881852</v>
      </c>
      <c r="Q20" s="28" t="n">
        <f aca="false">Q19+P20</f>
        <v>-103095.071474106</v>
      </c>
      <c r="R20" s="30" t="n">
        <f aca="false">IF(AND(A20&gt;0,N20&gt;=0),1,0)</f>
        <v>0</v>
      </c>
      <c r="S20" s="30" t="n">
        <f aca="false">IF(AND(A20&gt;0,Q20&gt;=0),1,0)</f>
        <v>0</v>
      </c>
      <c r="U20" s="3" t="s">
        <v>134</v>
      </c>
      <c r="V20" s="21" t="n">
        <f aca="false">V17+V18+V19</f>
        <v>649302.5</v>
      </c>
    </row>
    <row r="21" customFormat="false" ht="15" hidden="false" customHeight="false" outlineLevel="0" collapsed="false">
      <c r="A21" s="4" t="n">
        <v>15</v>
      </c>
      <c r="B21" s="31" t="n">
        <f aca="false">IF(A21=0,0,IF(A21&lt;=Supuestos!$C$24,Supuestos!$C$22,IF(A21&gt;=Supuestos!$E$8,$V$7,Supuestos!$C$22+($V$7-Supuestos!$C$22)*(A21-Supuestos!$C$24)/(Supuestos!$E$8-Supuestos!$C$24))))</f>
        <v>301.28</v>
      </c>
      <c r="C21" s="31" t="n">
        <f aca="false">B21*Supuestos!$E$6</f>
        <v>3012.8</v>
      </c>
      <c r="D21" s="32" t="n">
        <f aca="false">C21*Supuestos!$C$42</f>
        <v>13055.4666666667</v>
      </c>
      <c r="E21" s="32" t="n">
        <f aca="false">IF(A21=0,0,MAX(Supuestos!$C$23,ROUNDUP(C21/Supuestos!$C$18,0)))</f>
        <v>101</v>
      </c>
      <c r="F21" s="31" t="n">
        <f aca="false">MAX(0,E21-IF(A20=0,Supuestos!$C$23,E20))+Supuestos!$C$19*E21</f>
        <v>3.03</v>
      </c>
      <c r="G21" s="32" t="n">
        <f aca="false">IF(A21=0,0,MAX(1,ROUNDUP(B21/Supuestos!$C$21,0)))</f>
        <v>4</v>
      </c>
      <c r="H21" s="33" t="n">
        <f aca="false">D21*(Supuestos!$C$14+Supuestos!$E$7)</f>
        <v>1305546.66666667</v>
      </c>
      <c r="I21" s="33" t="n">
        <f aca="false">D21*Supuestos!$C$43</f>
        <v>972632.266666667</v>
      </c>
      <c r="J21" s="33" t="n">
        <f aca="false">IF(A21=0,0,Supuestos!$C$44+G21*Supuestos!$C$26)</f>
        <v>145900</v>
      </c>
      <c r="K21" s="21" t="n">
        <f aca="false">F21*Supuestos!$C$20</f>
        <v>10605</v>
      </c>
      <c r="L21" s="33" t="n">
        <f aca="false">IF(A21=0,Supuestos!$C$45,0)</f>
        <v>0</v>
      </c>
      <c r="M21" s="21" t="n">
        <f aca="false">IF(A21=0,-L21,H21-I21-J21-K21)</f>
        <v>176409.4</v>
      </c>
      <c r="N21" s="21" t="n">
        <f aca="false">N20+M21</f>
        <v>115606.1</v>
      </c>
      <c r="O21" s="34" t="n">
        <f aca="false">1/(1+Supuestos!$C$46)^A21</f>
        <v>0.887685536069373</v>
      </c>
      <c r="P21" s="21" t="n">
        <f aca="false">M21*O21</f>
        <v>156596.072806676</v>
      </c>
      <c r="Q21" s="21" t="n">
        <f aca="false">Q20+P21</f>
        <v>53501.0013325701</v>
      </c>
      <c r="R21" s="35" t="n">
        <f aca="false">IF(AND(A21&gt;0,N21&gt;=0),1,0)</f>
        <v>1</v>
      </c>
      <c r="S21" s="35" t="n">
        <f aca="false">IF(AND(A21&gt;0,Q21&gt;=0),1,0)</f>
        <v>1</v>
      </c>
      <c r="U21" s="2" t="s">
        <v>135</v>
      </c>
      <c r="V21" s="21" t="n">
        <f aca="false">-MIN(0,MIN(N6:N66))</f>
        <v>661900.3</v>
      </c>
    </row>
    <row r="22" customFormat="false" ht="15" hidden="false" customHeight="false" outlineLevel="0" collapsed="false">
      <c r="A22" s="24" t="n">
        <v>16</v>
      </c>
      <c r="B22" s="25" t="n">
        <f aca="false">IF(A22=0,0,IF(A22&lt;=Supuestos!$C$24,Supuestos!$C$22,IF(A22&gt;=Supuestos!$E$8,$V$7,Supuestos!$C$22+($V$7-Supuestos!$C$22)*(A22-Supuestos!$C$24)/(Supuestos!$E$8-Supuestos!$C$24))))</f>
        <v>301.28</v>
      </c>
      <c r="C22" s="25" t="n">
        <f aca="false">B22*Supuestos!$E$6</f>
        <v>3012.8</v>
      </c>
      <c r="D22" s="26" t="n">
        <f aca="false">C22*Supuestos!$C$42</f>
        <v>13055.4666666667</v>
      </c>
      <c r="E22" s="26" t="n">
        <f aca="false">IF(A22=0,0,MAX(Supuestos!$C$23,ROUNDUP(C22/Supuestos!$C$18,0)))</f>
        <v>101</v>
      </c>
      <c r="F22" s="25" t="n">
        <f aca="false">MAX(0,E22-IF(A21=0,Supuestos!$C$23,E21))+Supuestos!$C$19*E22</f>
        <v>3.03</v>
      </c>
      <c r="G22" s="26" t="n">
        <f aca="false">IF(A22=0,0,MAX(1,ROUNDUP(B22/Supuestos!$C$21,0)))</f>
        <v>4</v>
      </c>
      <c r="H22" s="27" t="n">
        <f aca="false">D22*(Supuestos!$C$14+Supuestos!$E$7)</f>
        <v>1305546.66666667</v>
      </c>
      <c r="I22" s="27" t="n">
        <f aca="false">D22*Supuestos!$C$43</f>
        <v>972632.266666667</v>
      </c>
      <c r="J22" s="27" t="n">
        <f aca="false">IF(A22=0,0,Supuestos!$C$44+G22*Supuestos!$C$26)</f>
        <v>145900</v>
      </c>
      <c r="K22" s="28" t="n">
        <f aca="false">F22*Supuestos!$C$20</f>
        <v>10605</v>
      </c>
      <c r="L22" s="27" t="n">
        <f aca="false">IF(A22=0,Supuestos!$C$45,0)</f>
        <v>0</v>
      </c>
      <c r="M22" s="28" t="n">
        <f aca="false">IF(A22=0,-L22,H22-I22-J22-K22)</f>
        <v>176409.4</v>
      </c>
      <c r="N22" s="28" t="n">
        <f aca="false">N21+M22</f>
        <v>292015.5</v>
      </c>
      <c r="O22" s="29" t="n">
        <f aca="false">1/(1+Supuestos!$C$46)^A22</f>
        <v>0.88066300559224</v>
      </c>
      <c r="P22" s="28" t="n">
        <f aca="false">M22*O22</f>
        <v>155357.232418724</v>
      </c>
      <c r="Q22" s="28" t="n">
        <f aca="false">Q21+P22</f>
        <v>208858.233751294</v>
      </c>
      <c r="R22" s="30" t="n">
        <f aca="false">IF(AND(A22&gt;0,N22&gt;=0),1,0)</f>
        <v>1</v>
      </c>
      <c r="S22" s="30" t="n">
        <f aca="false">IF(AND(A22&gt;0,Q22&gt;=0),1,0)</f>
        <v>1</v>
      </c>
      <c r="U22" s="2" t="s">
        <v>136</v>
      </c>
      <c r="V22" s="31" t="n">
        <f aca="false">B66</f>
        <v>301.28</v>
      </c>
    </row>
    <row r="23" customFormat="false" ht="15" hidden="false" customHeight="false" outlineLevel="0" collapsed="false">
      <c r="A23" s="4" t="n">
        <v>17</v>
      </c>
      <c r="B23" s="31" t="n">
        <f aca="false">IF(A23=0,0,IF(A23&lt;=Supuestos!$C$24,Supuestos!$C$22,IF(A23&gt;=Supuestos!$E$8,$V$7,Supuestos!$C$22+($V$7-Supuestos!$C$22)*(A23-Supuestos!$C$24)/(Supuestos!$E$8-Supuestos!$C$24))))</f>
        <v>301.28</v>
      </c>
      <c r="C23" s="31" t="n">
        <f aca="false">B23*Supuestos!$E$6</f>
        <v>3012.8</v>
      </c>
      <c r="D23" s="32" t="n">
        <f aca="false">C23*Supuestos!$C$42</f>
        <v>13055.4666666667</v>
      </c>
      <c r="E23" s="32" t="n">
        <f aca="false">IF(A23=0,0,MAX(Supuestos!$C$23,ROUNDUP(C23/Supuestos!$C$18,0)))</f>
        <v>101</v>
      </c>
      <c r="F23" s="31" t="n">
        <f aca="false">MAX(0,E23-IF(A22=0,Supuestos!$C$23,E22))+Supuestos!$C$19*E23</f>
        <v>3.03</v>
      </c>
      <c r="G23" s="32" t="n">
        <f aca="false">IF(A23=0,0,MAX(1,ROUNDUP(B23/Supuestos!$C$21,0)))</f>
        <v>4</v>
      </c>
      <c r="H23" s="33" t="n">
        <f aca="false">D23*(Supuestos!$C$14+Supuestos!$E$7)</f>
        <v>1305546.66666667</v>
      </c>
      <c r="I23" s="33" t="n">
        <f aca="false">D23*Supuestos!$C$43</f>
        <v>972632.266666667</v>
      </c>
      <c r="J23" s="33" t="n">
        <f aca="false">IF(A23=0,0,Supuestos!$C$44+G23*Supuestos!$C$26)</f>
        <v>145900</v>
      </c>
      <c r="K23" s="21" t="n">
        <f aca="false">F23*Supuestos!$C$20</f>
        <v>10605</v>
      </c>
      <c r="L23" s="33" t="n">
        <f aca="false">IF(A23=0,Supuestos!$C$45,0)</f>
        <v>0</v>
      </c>
      <c r="M23" s="21" t="n">
        <f aca="false">IF(A23=0,-L23,H23-I23-J23-K23)</f>
        <v>176409.4</v>
      </c>
      <c r="N23" s="21" t="n">
        <f aca="false">N22+M23</f>
        <v>468424.9</v>
      </c>
      <c r="O23" s="34" t="n">
        <f aca="false">1/(1+Supuestos!$C$46)^A23</f>
        <v>0.873696030750857</v>
      </c>
      <c r="P23" s="21" t="n">
        <f aca="false">M23*O23</f>
        <v>154128.19256714</v>
      </c>
      <c r="Q23" s="21" t="n">
        <f aca="false">Q22+P23</f>
        <v>362986.426318434</v>
      </c>
      <c r="R23" s="35" t="n">
        <f aca="false">IF(AND(A23&gt;0,N23&gt;=0),1,0)</f>
        <v>1</v>
      </c>
      <c r="S23" s="35" t="n">
        <f aca="false">IF(AND(A23&gt;0,Q23&gt;=0),1,0)</f>
        <v>1</v>
      </c>
      <c r="U23" s="2" t="s">
        <v>137</v>
      </c>
      <c r="V23" s="32" t="n">
        <f aca="false">D66</f>
        <v>13055.4666666667</v>
      </c>
    </row>
    <row r="24" customFormat="false" ht="15" hidden="false" customHeight="false" outlineLevel="0" collapsed="false">
      <c r="A24" s="24" t="n">
        <v>18</v>
      </c>
      <c r="B24" s="25" t="n">
        <f aca="false">IF(A24=0,0,IF(A24&lt;=Supuestos!$C$24,Supuestos!$C$22,IF(A24&gt;=Supuestos!$E$8,$V$7,Supuestos!$C$22+($V$7-Supuestos!$C$22)*(A24-Supuestos!$C$24)/(Supuestos!$E$8-Supuestos!$C$24))))</f>
        <v>301.28</v>
      </c>
      <c r="C24" s="25" t="n">
        <f aca="false">B24*Supuestos!$E$6</f>
        <v>3012.8</v>
      </c>
      <c r="D24" s="26" t="n">
        <f aca="false">C24*Supuestos!$C$42</f>
        <v>13055.4666666667</v>
      </c>
      <c r="E24" s="26" t="n">
        <f aca="false">IF(A24=0,0,MAX(Supuestos!$C$23,ROUNDUP(C24/Supuestos!$C$18,0)))</f>
        <v>101</v>
      </c>
      <c r="F24" s="25" t="n">
        <f aca="false">MAX(0,E24-IF(A23=0,Supuestos!$C$23,E23))+Supuestos!$C$19*E24</f>
        <v>3.03</v>
      </c>
      <c r="G24" s="26" t="n">
        <f aca="false">IF(A24=0,0,MAX(1,ROUNDUP(B24/Supuestos!$C$21,0)))</f>
        <v>4</v>
      </c>
      <c r="H24" s="27" t="n">
        <f aca="false">D24*(Supuestos!$C$14+Supuestos!$E$7)</f>
        <v>1305546.66666667</v>
      </c>
      <c r="I24" s="27" t="n">
        <f aca="false">D24*Supuestos!$C$43</f>
        <v>972632.266666667</v>
      </c>
      <c r="J24" s="27" t="n">
        <f aca="false">IF(A24=0,0,Supuestos!$C$44+G24*Supuestos!$C$26)</f>
        <v>145900</v>
      </c>
      <c r="K24" s="28" t="n">
        <f aca="false">F24*Supuestos!$C$20</f>
        <v>10605</v>
      </c>
      <c r="L24" s="27" t="n">
        <f aca="false">IF(A24=0,Supuestos!$C$45,0)</f>
        <v>0</v>
      </c>
      <c r="M24" s="28" t="n">
        <f aca="false">IF(A24=0,-L24,H24-I24-J24-K24)</f>
        <v>176409.4</v>
      </c>
      <c r="N24" s="28" t="n">
        <f aca="false">N23+M24</f>
        <v>644834.3</v>
      </c>
      <c r="O24" s="29" t="n">
        <f aca="false">1/(1+Supuestos!$C$46)^A24</f>
        <v>0.866784172041447</v>
      </c>
      <c r="P24" s="28" t="n">
        <f aca="false">M24*O24</f>
        <v>152908.875719329</v>
      </c>
      <c r="Q24" s="28" t="n">
        <f aca="false">Q23+P24</f>
        <v>515895.302037763</v>
      </c>
      <c r="R24" s="30" t="n">
        <f aca="false">IF(AND(A24&gt;0,N24&gt;=0),1,0)</f>
        <v>1</v>
      </c>
      <c r="S24" s="30" t="n">
        <f aca="false">IF(AND(A24&gt;0,Q24&gt;=0),1,0)</f>
        <v>1</v>
      </c>
      <c r="U24" s="2" t="s">
        <v>138</v>
      </c>
      <c r="V24" s="32" t="n">
        <f aca="false">E66</f>
        <v>101</v>
      </c>
    </row>
    <row r="25" customFormat="false" ht="15" hidden="false" customHeight="false" outlineLevel="0" collapsed="false">
      <c r="A25" s="4" t="n">
        <v>19</v>
      </c>
      <c r="B25" s="31" t="n">
        <f aca="false">IF(A25=0,0,IF(A25&lt;=Supuestos!$C$24,Supuestos!$C$22,IF(A25&gt;=Supuestos!$E$8,$V$7,Supuestos!$C$22+($V$7-Supuestos!$C$22)*(A25-Supuestos!$C$24)/(Supuestos!$E$8-Supuestos!$C$24))))</f>
        <v>301.28</v>
      </c>
      <c r="C25" s="31" t="n">
        <f aca="false">B25*Supuestos!$E$6</f>
        <v>3012.8</v>
      </c>
      <c r="D25" s="32" t="n">
        <f aca="false">C25*Supuestos!$C$42</f>
        <v>13055.4666666667</v>
      </c>
      <c r="E25" s="32" t="n">
        <f aca="false">IF(A25=0,0,MAX(Supuestos!$C$23,ROUNDUP(C25/Supuestos!$C$18,0)))</f>
        <v>101</v>
      </c>
      <c r="F25" s="31" t="n">
        <f aca="false">MAX(0,E25-IF(A24=0,Supuestos!$C$23,E24))+Supuestos!$C$19*E25</f>
        <v>3.03</v>
      </c>
      <c r="G25" s="32" t="n">
        <f aca="false">IF(A25=0,0,MAX(1,ROUNDUP(B25/Supuestos!$C$21,0)))</f>
        <v>4</v>
      </c>
      <c r="H25" s="33" t="n">
        <f aca="false">D25*(Supuestos!$C$14+Supuestos!$E$7)</f>
        <v>1305546.66666667</v>
      </c>
      <c r="I25" s="33" t="n">
        <f aca="false">D25*Supuestos!$C$43</f>
        <v>972632.266666667</v>
      </c>
      <c r="J25" s="33" t="n">
        <f aca="false">IF(A25=0,0,Supuestos!$C$44+G25*Supuestos!$C$26)</f>
        <v>145900</v>
      </c>
      <c r="K25" s="21" t="n">
        <f aca="false">F25*Supuestos!$C$20</f>
        <v>10605</v>
      </c>
      <c r="L25" s="33" t="n">
        <f aca="false">IF(A25=0,Supuestos!$C$45,0)</f>
        <v>0</v>
      </c>
      <c r="M25" s="21" t="n">
        <f aca="false">IF(A25=0,-L25,H25-I25-J25-K25)</f>
        <v>176409.4</v>
      </c>
      <c r="N25" s="21" t="n">
        <f aca="false">N24+M25</f>
        <v>821243.7</v>
      </c>
      <c r="O25" s="34" t="n">
        <f aca="false">1/(1+Supuestos!$C$46)^A25</f>
        <v>0.859926993437174</v>
      </c>
      <c r="P25" s="21" t="n">
        <f aca="false">M25*O25</f>
        <v>151699.204956056</v>
      </c>
      <c r="Q25" s="21" t="n">
        <f aca="false">Q24+P25</f>
        <v>667594.506993818</v>
      </c>
      <c r="R25" s="35" t="n">
        <f aca="false">IF(AND(A25&gt;0,N25&gt;=0),1,0)</f>
        <v>1</v>
      </c>
      <c r="S25" s="35" t="n">
        <f aca="false">IF(AND(A25&gt;0,Q25&gt;=0),1,0)</f>
        <v>1</v>
      </c>
      <c r="U25" s="2" t="s">
        <v>139</v>
      </c>
      <c r="V25" s="31" t="n">
        <f aca="false">INDEX(B6:B66,(Supuestos!$C$37+1))</f>
        <v>301.28</v>
      </c>
    </row>
    <row r="26" customFormat="false" ht="15" hidden="false" customHeight="false" outlineLevel="0" collapsed="false">
      <c r="A26" s="24" t="n">
        <v>20</v>
      </c>
      <c r="B26" s="25" t="n">
        <f aca="false">IF(A26=0,0,IF(A26&lt;=Supuestos!$C$24,Supuestos!$C$22,IF(A26&gt;=Supuestos!$E$8,$V$7,Supuestos!$C$22+($V$7-Supuestos!$C$22)*(A26-Supuestos!$C$24)/(Supuestos!$E$8-Supuestos!$C$24))))</f>
        <v>301.28</v>
      </c>
      <c r="C26" s="25" t="n">
        <f aca="false">B26*Supuestos!$E$6</f>
        <v>3012.8</v>
      </c>
      <c r="D26" s="26" t="n">
        <f aca="false">C26*Supuestos!$C$42</f>
        <v>13055.4666666667</v>
      </c>
      <c r="E26" s="26" t="n">
        <f aca="false">IF(A26=0,0,MAX(Supuestos!$C$23,ROUNDUP(C26/Supuestos!$C$18,0)))</f>
        <v>101</v>
      </c>
      <c r="F26" s="25" t="n">
        <f aca="false">MAX(0,E26-IF(A25=0,Supuestos!$C$23,E25))+Supuestos!$C$19*E26</f>
        <v>3.03</v>
      </c>
      <c r="G26" s="26" t="n">
        <f aca="false">IF(A26=0,0,MAX(1,ROUNDUP(B26/Supuestos!$C$21,0)))</f>
        <v>4</v>
      </c>
      <c r="H26" s="27" t="n">
        <f aca="false">D26*(Supuestos!$C$14+Supuestos!$E$7)</f>
        <v>1305546.66666667</v>
      </c>
      <c r="I26" s="27" t="n">
        <f aca="false">D26*Supuestos!$C$43</f>
        <v>972632.266666667</v>
      </c>
      <c r="J26" s="27" t="n">
        <f aca="false">IF(A26=0,0,Supuestos!$C$44+G26*Supuestos!$C$26)</f>
        <v>145900</v>
      </c>
      <c r="K26" s="28" t="n">
        <f aca="false">F26*Supuestos!$C$20</f>
        <v>10605</v>
      </c>
      <c r="L26" s="27" t="n">
        <f aca="false">IF(A26=0,Supuestos!$C$45,0)</f>
        <v>0</v>
      </c>
      <c r="M26" s="28" t="n">
        <f aca="false">IF(A26=0,-L26,H26-I26-J26-K26)</f>
        <v>176409.4</v>
      </c>
      <c r="N26" s="28" t="n">
        <f aca="false">N25+M26</f>
        <v>997653.1</v>
      </c>
      <c r="O26" s="29" t="n">
        <f aca="false">1/(1+Supuestos!$C$46)^A26</f>
        <v>0.853124062360634</v>
      </c>
      <c r="P26" s="28" t="n">
        <f aca="false">M26*O26</f>
        <v>150499.103966602</v>
      </c>
      <c r="Q26" s="28" t="n">
        <f aca="false">Q25+P26</f>
        <v>818093.61096042</v>
      </c>
      <c r="R26" s="30" t="n">
        <f aca="false">IF(AND(A26&gt;0,N26&gt;=0),1,0)</f>
        <v>1</v>
      </c>
      <c r="S26" s="30" t="n">
        <f aca="false">IF(AND(A26&gt;0,Q26&gt;=0),1,0)</f>
        <v>1</v>
      </c>
      <c r="U26" s="2" t="s">
        <v>140</v>
      </c>
      <c r="V26" s="2" t="str">
        <f aca="false">IF(ISNUMBER(V15),IF(V25&lt;Supuestos!$C$38*V15,"Sí","No"),"Sí")</f>
        <v>No</v>
      </c>
    </row>
    <row r="27" customFormat="false" ht="15" hidden="false" customHeight="false" outlineLevel="0" collapsed="false">
      <c r="A27" s="4" t="n">
        <v>21</v>
      </c>
      <c r="B27" s="31" t="n">
        <f aca="false">IF(A27=0,0,IF(A27&lt;=Supuestos!$C$24,Supuestos!$C$22,IF(A27&gt;=Supuestos!$E$8,$V$7,Supuestos!$C$22+($V$7-Supuestos!$C$22)*(A27-Supuestos!$C$24)/(Supuestos!$E$8-Supuestos!$C$24))))</f>
        <v>301.28</v>
      </c>
      <c r="C27" s="31" t="n">
        <f aca="false">B27*Supuestos!$E$6</f>
        <v>3012.8</v>
      </c>
      <c r="D27" s="32" t="n">
        <f aca="false">C27*Supuestos!$C$42</f>
        <v>13055.4666666667</v>
      </c>
      <c r="E27" s="32" t="n">
        <f aca="false">IF(A27=0,0,MAX(Supuestos!$C$23,ROUNDUP(C27/Supuestos!$C$18,0)))</f>
        <v>101</v>
      </c>
      <c r="F27" s="31" t="n">
        <f aca="false">MAX(0,E27-IF(A26=0,Supuestos!$C$23,E26))+Supuestos!$C$19*E27</f>
        <v>3.03</v>
      </c>
      <c r="G27" s="32" t="n">
        <f aca="false">IF(A27=0,0,MAX(1,ROUNDUP(B27/Supuestos!$C$21,0)))</f>
        <v>4</v>
      </c>
      <c r="H27" s="33" t="n">
        <f aca="false">D27*(Supuestos!$C$14+Supuestos!$E$7)</f>
        <v>1305546.66666667</v>
      </c>
      <c r="I27" s="33" t="n">
        <f aca="false">D27*Supuestos!$C$43</f>
        <v>972632.266666667</v>
      </c>
      <c r="J27" s="33" t="n">
        <f aca="false">IF(A27=0,0,Supuestos!$C$44+G27*Supuestos!$C$26)</f>
        <v>145900</v>
      </c>
      <c r="K27" s="21" t="n">
        <f aca="false">F27*Supuestos!$C$20</f>
        <v>10605</v>
      </c>
      <c r="L27" s="33" t="n">
        <f aca="false">IF(A27=0,Supuestos!$C$45,0)</f>
        <v>0</v>
      </c>
      <c r="M27" s="21" t="n">
        <f aca="false">IF(A27=0,-L27,H27-I27-J27-K27)</f>
        <v>176409.4</v>
      </c>
      <c r="N27" s="21" t="n">
        <f aca="false">N26+M27</f>
        <v>1174062.5</v>
      </c>
      <c r="O27" s="34" t="n">
        <f aca="false">1/(1+Supuestos!$C$46)^A27</f>
        <v>0.846374949656566</v>
      </c>
      <c r="P27" s="21" t="n">
        <f aca="false">M27*O27</f>
        <v>149308.497043945</v>
      </c>
      <c r="Q27" s="21" t="n">
        <f aca="false">Q26+P27</f>
        <v>967402.108004365</v>
      </c>
      <c r="R27" s="35" t="n">
        <f aca="false">IF(AND(A27&gt;0,N27&gt;=0),1,0)</f>
        <v>1</v>
      </c>
      <c r="S27" s="35" t="n">
        <f aca="false">IF(AND(A27&gt;0,Q27&gt;=0),1,0)</f>
        <v>1</v>
      </c>
      <c r="U27" s="2" t="s">
        <v>141</v>
      </c>
      <c r="V27" s="21" t="n">
        <f aca="false">Supuestos!$C$39*INDEX(J6:J66,(Supuestos!$C$37+1))</f>
        <v>291800</v>
      </c>
    </row>
    <row r="28" customFormat="false" ht="15" hidden="false" customHeight="false" outlineLevel="0" collapsed="false">
      <c r="A28" s="24" t="n">
        <v>22</v>
      </c>
      <c r="B28" s="25" t="n">
        <f aca="false">IF(A28=0,0,IF(A28&lt;=Supuestos!$C$24,Supuestos!$C$22,IF(A28&gt;=Supuestos!$E$8,$V$7,Supuestos!$C$22+($V$7-Supuestos!$C$22)*(A28-Supuestos!$C$24)/(Supuestos!$E$8-Supuestos!$C$24))))</f>
        <v>301.28</v>
      </c>
      <c r="C28" s="25" t="n">
        <f aca="false">B28*Supuestos!$E$6</f>
        <v>3012.8</v>
      </c>
      <c r="D28" s="26" t="n">
        <f aca="false">C28*Supuestos!$C$42</f>
        <v>13055.4666666667</v>
      </c>
      <c r="E28" s="26" t="n">
        <f aca="false">IF(A28=0,0,MAX(Supuestos!$C$23,ROUNDUP(C28/Supuestos!$C$18,0)))</f>
        <v>101</v>
      </c>
      <c r="F28" s="25" t="n">
        <f aca="false">MAX(0,E28-IF(A27=0,Supuestos!$C$23,E27))+Supuestos!$C$19*E28</f>
        <v>3.03</v>
      </c>
      <c r="G28" s="26" t="n">
        <f aca="false">IF(A28=0,0,MAX(1,ROUNDUP(B28/Supuestos!$C$21,0)))</f>
        <v>4</v>
      </c>
      <c r="H28" s="27" t="n">
        <f aca="false">D28*(Supuestos!$C$14+Supuestos!$E$7)</f>
        <v>1305546.66666667</v>
      </c>
      <c r="I28" s="27" t="n">
        <f aca="false">D28*Supuestos!$C$43</f>
        <v>972632.266666667</v>
      </c>
      <c r="J28" s="27" t="n">
        <f aca="false">IF(A28=0,0,Supuestos!$C$44+G28*Supuestos!$C$26)</f>
        <v>145900</v>
      </c>
      <c r="K28" s="28" t="n">
        <f aca="false">F28*Supuestos!$C$20</f>
        <v>10605</v>
      </c>
      <c r="L28" s="27" t="n">
        <f aca="false">IF(A28=0,Supuestos!$C$45,0)</f>
        <v>0</v>
      </c>
      <c r="M28" s="28" t="n">
        <f aca="false">IF(A28=0,-L28,H28-I28-J28-K28)</f>
        <v>176409.4</v>
      </c>
      <c r="N28" s="28" t="n">
        <f aca="false">N27+M28</f>
        <v>1350471.9</v>
      </c>
      <c r="O28" s="29" t="n">
        <f aca="false">1/(1+Supuestos!$C$46)^A28</f>
        <v>0.839679229564783</v>
      </c>
      <c r="P28" s="28" t="n">
        <f aca="false">M28*O28</f>
        <v>148127.309079986</v>
      </c>
      <c r="Q28" s="28" t="n">
        <f aca="false">Q27+P28</f>
        <v>1115529.41708435</v>
      </c>
      <c r="R28" s="30" t="n">
        <f aca="false">IF(AND(A28&gt;0,N28&gt;=0),1,0)</f>
        <v>1</v>
      </c>
      <c r="S28" s="30" t="n">
        <f aca="false">IF(AND(A28&gt;0,Q28&gt;=0),1,0)</f>
        <v>1</v>
      </c>
      <c r="U28" s="3" t="s">
        <v>142</v>
      </c>
      <c r="V28" s="21" t="n">
        <f aca="false">IF(V26="Sí",SUM(P6:INDEX(P6:P66,(Supuestos!$C$37+1)))-V27/(1+Supuestos!$C$46)^(Supuestos!$C$37+1),V8)</f>
        <v>5955041.76026229</v>
      </c>
    </row>
    <row r="29" customFormat="false" ht="15" hidden="false" customHeight="false" outlineLevel="0" collapsed="false">
      <c r="A29" s="4" t="n">
        <v>23</v>
      </c>
      <c r="B29" s="31" t="n">
        <f aca="false">IF(A29=0,0,IF(A29&lt;=Supuestos!$C$24,Supuestos!$C$22,IF(A29&gt;=Supuestos!$E$8,$V$7,Supuestos!$C$22+($V$7-Supuestos!$C$22)*(A29-Supuestos!$C$24)/(Supuestos!$E$8-Supuestos!$C$24))))</f>
        <v>301.28</v>
      </c>
      <c r="C29" s="31" t="n">
        <f aca="false">B29*Supuestos!$E$6</f>
        <v>3012.8</v>
      </c>
      <c r="D29" s="32" t="n">
        <f aca="false">C29*Supuestos!$C$42</f>
        <v>13055.4666666667</v>
      </c>
      <c r="E29" s="32" t="n">
        <f aca="false">IF(A29=0,0,MAX(Supuestos!$C$23,ROUNDUP(C29/Supuestos!$C$18,0)))</f>
        <v>101</v>
      </c>
      <c r="F29" s="31" t="n">
        <f aca="false">MAX(0,E29-IF(A28=0,Supuestos!$C$23,E28))+Supuestos!$C$19*E29</f>
        <v>3.03</v>
      </c>
      <c r="G29" s="32" t="n">
        <f aca="false">IF(A29=0,0,MAX(1,ROUNDUP(B29/Supuestos!$C$21,0)))</f>
        <v>4</v>
      </c>
      <c r="H29" s="33" t="n">
        <f aca="false">D29*(Supuestos!$C$14+Supuestos!$E$7)</f>
        <v>1305546.66666667</v>
      </c>
      <c r="I29" s="33" t="n">
        <f aca="false">D29*Supuestos!$C$43</f>
        <v>972632.266666667</v>
      </c>
      <c r="J29" s="33" t="n">
        <f aca="false">IF(A29=0,0,Supuestos!$C$44+G29*Supuestos!$C$26)</f>
        <v>145900</v>
      </c>
      <c r="K29" s="21" t="n">
        <f aca="false">F29*Supuestos!$C$20</f>
        <v>10605</v>
      </c>
      <c r="L29" s="33" t="n">
        <f aca="false">IF(A29=0,Supuestos!$C$45,0)</f>
        <v>0</v>
      </c>
      <c r="M29" s="21" t="n">
        <f aca="false">IF(A29=0,-L29,H29-I29-J29-K29)</f>
        <v>176409.4</v>
      </c>
      <c r="N29" s="21" t="n">
        <f aca="false">N28+M29</f>
        <v>1526881.3</v>
      </c>
      <c r="O29" s="34" t="n">
        <f aca="false">1/(1+Supuestos!$C$46)^A29</f>
        <v>0.833036479693309</v>
      </c>
      <c r="P29" s="21" t="n">
        <f aca="false">M29*O29</f>
        <v>146955.465560809</v>
      </c>
      <c r="Q29" s="21" t="n">
        <f aca="false">Q28+P29</f>
        <v>1262484.88264516</v>
      </c>
      <c r="R29" s="35" t="n">
        <f aca="false">IF(AND(A29&gt;0,N29&gt;=0),1,0)</f>
        <v>1</v>
      </c>
      <c r="S29" s="35" t="n">
        <f aca="false">IF(AND(A29&gt;0,Q29&gt;=0),1,0)</f>
        <v>1</v>
      </c>
      <c r="U29" s="2" t="s">
        <v>143</v>
      </c>
      <c r="V29" s="21" t="n">
        <f aca="false">IF(V26="Sí",SUM(M6:INDEX(M6:M66,(Supuestos!$C$37+1)))-V27,V16)</f>
        <v>8054029.10000001</v>
      </c>
    </row>
    <row r="30" customFormat="false" ht="15" hidden="false" customHeight="false" outlineLevel="0" collapsed="false">
      <c r="A30" s="24" t="n">
        <v>24</v>
      </c>
      <c r="B30" s="25" t="n">
        <f aca="false">IF(A30=0,0,IF(A30&lt;=Supuestos!$C$24,Supuestos!$C$22,IF(A30&gt;=Supuestos!$E$8,$V$7,Supuestos!$C$22+($V$7-Supuestos!$C$22)*(A30-Supuestos!$C$24)/(Supuestos!$E$8-Supuestos!$C$24))))</f>
        <v>301.28</v>
      </c>
      <c r="C30" s="25" t="n">
        <f aca="false">B30*Supuestos!$E$6</f>
        <v>3012.8</v>
      </c>
      <c r="D30" s="26" t="n">
        <f aca="false">C30*Supuestos!$C$42</f>
        <v>13055.4666666667</v>
      </c>
      <c r="E30" s="26" t="n">
        <f aca="false">IF(A30=0,0,MAX(Supuestos!$C$23,ROUNDUP(C30/Supuestos!$C$18,0)))</f>
        <v>101</v>
      </c>
      <c r="F30" s="25" t="n">
        <f aca="false">MAX(0,E30-IF(A29=0,Supuestos!$C$23,E29))+Supuestos!$C$19*E30</f>
        <v>3.03</v>
      </c>
      <c r="G30" s="26" t="n">
        <f aca="false">IF(A30=0,0,MAX(1,ROUNDUP(B30/Supuestos!$C$21,0)))</f>
        <v>4</v>
      </c>
      <c r="H30" s="27" t="n">
        <f aca="false">D30*(Supuestos!$C$14+Supuestos!$E$7)</f>
        <v>1305546.66666667</v>
      </c>
      <c r="I30" s="27" t="n">
        <f aca="false">D30*Supuestos!$C$43</f>
        <v>972632.266666667</v>
      </c>
      <c r="J30" s="27" t="n">
        <f aca="false">IF(A30=0,0,Supuestos!$C$44+G30*Supuestos!$C$26)</f>
        <v>145900</v>
      </c>
      <c r="K30" s="28" t="n">
        <f aca="false">F30*Supuestos!$C$20</f>
        <v>10605</v>
      </c>
      <c r="L30" s="27" t="n">
        <f aca="false">IF(A30=0,Supuestos!$C$45,0)</f>
        <v>0</v>
      </c>
      <c r="M30" s="28" t="n">
        <f aca="false">IF(A30=0,-L30,H30-I30-J30-K30)</f>
        <v>176409.4</v>
      </c>
      <c r="N30" s="28" t="n">
        <f aca="false">N29+M30</f>
        <v>1703290.7</v>
      </c>
      <c r="O30" s="29" t="n">
        <f aca="false">1/(1+Supuestos!$C$46)^A30</f>
        <v>0.826446280991735</v>
      </c>
      <c r="P30" s="28" t="n">
        <f aca="false">M30*O30</f>
        <v>145792.892561983</v>
      </c>
      <c r="Q30" s="28" t="n">
        <f aca="false">Q29+P30</f>
        <v>1408277.77520714</v>
      </c>
      <c r="R30" s="30" t="n">
        <f aca="false">IF(AND(A30&gt;0,N30&gt;=0),1,0)</f>
        <v>1</v>
      </c>
      <c r="S30" s="30" t="n">
        <f aca="false">IF(AND(A30&gt;0,Q30&gt;=0),1,0)</f>
        <v>1</v>
      </c>
    </row>
    <row r="31" customFormat="false" ht="15" hidden="false" customHeight="false" outlineLevel="0" collapsed="false">
      <c r="A31" s="4" t="n">
        <v>25</v>
      </c>
      <c r="B31" s="31" t="n">
        <f aca="false">IF(A31=0,0,IF(A31&lt;=Supuestos!$C$24,Supuestos!$C$22,IF(A31&gt;=Supuestos!$E$8,$V$7,Supuestos!$C$22+($V$7-Supuestos!$C$22)*(A31-Supuestos!$C$24)/(Supuestos!$E$8-Supuestos!$C$24))))</f>
        <v>301.28</v>
      </c>
      <c r="C31" s="31" t="n">
        <f aca="false">B31*Supuestos!$E$6</f>
        <v>3012.8</v>
      </c>
      <c r="D31" s="32" t="n">
        <f aca="false">C31*Supuestos!$C$42</f>
        <v>13055.4666666667</v>
      </c>
      <c r="E31" s="32" t="n">
        <f aca="false">IF(A31=0,0,MAX(Supuestos!$C$23,ROUNDUP(C31/Supuestos!$C$18,0)))</f>
        <v>101</v>
      </c>
      <c r="F31" s="31" t="n">
        <f aca="false">MAX(0,E31-IF(A30=0,Supuestos!$C$23,E30))+Supuestos!$C$19*E31</f>
        <v>3.03</v>
      </c>
      <c r="G31" s="32" t="n">
        <f aca="false">IF(A31=0,0,MAX(1,ROUNDUP(B31/Supuestos!$C$21,0)))</f>
        <v>4</v>
      </c>
      <c r="H31" s="33" t="n">
        <f aca="false">D31*(Supuestos!$C$14+Supuestos!$E$7)</f>
        <v>1305546.66666667</v>
      </c>
      <c r="I31" s="33" t="n">
        <f aca="false">D31*Supuestos!$C$43</f>
        <v>972632.266666667</v>
      </c>
      <c r="J31" s="33" t="n">
        <f aca="false">IF(A31=0,0,Supuestos!$C$44+G31*Supuestos!$C$26)</f>
        <v>145900</v>
      </c>
      <c r="K31" s="21" t="n">
        <f aca="false">F31*Supuestos!$C$20</f>
        <v>10605</v>
      </c>
      <c r="L31" s="33" t="n">
        <f aca="false">IF(A31=0,Supuestos!$C$45,0)</f>
        <v>0</v>
      </c>
      <c r="M31" s="21" t="n">
        <f aca="false">IF(A31=0,-L31,H31-I31-J31-K31)</f>
        <v>176409.4</v>
      </c>
      <c r="N31" s="21" t="n">
        <f aca="false">N30+M31</f>
        <v>1879700.1</v>
      </c>
      <c r="O31" s="34" t="n">
        <f aca="false">1/(1+Supuestos!$C$46)^A31</f>
        <v>0.819908217724785</v>
      </c>
      <c r="P31" s="21" t="n">
        <f aca="false">M31*O31</f>
        <v>144639.516743899</v>
      </c>
      <c r="Q31" s="21" t="n">
        <f aca="false">Q30+P31</f>
        <v>1552917.29195104</v>
      </c>
      <c r="R31" s="35" t="n">
        <f aca="false">IF(AND(A31&gt;0,N31&gt;=0),1,0)</f>
        <v>1</v>
      </c>
      <c r="S31" s="35" t="n">
        <f aca="false">IF(AND(A31&gt;0,Q31&gt;=0),1,0)</f>
        <v>1</v>
      </c>
    </row>
    <row r="32" customFormat="false" ht="15" hidden="false" customHeight="false" outlineLevel="0" collapsed="false">
      <c r="A32" s="24" t="n">
        <v>26</v>
      </c>
      <c r="B32" s="25" t="n">
        <f aca="false">IF(A32=0,0,IF(A32&lt;=Supuestos!$C$24,Supuestos!$C$22,IF(A32&gt;=Supuestos!$E$8,$V$7,Supuestos!$C$22+($V$7-Supuestos!$C$22)*(A32-Supuestos!$C$24)/(Supuestos!$E$8-Supuestos!$C$24))))</f>
        <v>301.28</v>
      </c>
      <c r="C32" s="25" t="n">
        <f aca="false">B32*Supuestos!$E$6</f>
        <v>3012.8</v>
      </c>
      <c r="D32" s="26" t="n">
        <f aca="false">C32*Supuestos!$C$42</f>
        <v>13055.4666666667</v>
      </c>
      <c r="E32" s="26" t="n">
        <f aca="false">IF(A32=0,0,MAX(Supuestos!$C$23,ROUNDUP(C32/Supuestos!$C$18,0)))</f>
        <v>101</v>
      </c>
      <c r="F32" s="25" t="n">
        <f aca="false">MAX(0,E32-IF(A31=0,Supuestos!$C$23,E31))+Supuestos!$C$19*E32</f>
        <v>3.03</v>
      </c>
      <c r="G32" s="26" t="n">
        <f aca="false">IF(A32=0,0,MAX(1,ROUNDUP(B32/Supuestos!$C$21,0)))</f>
        <v>4</v>
      </c>
      <c r="H32" s="27" t="n">
        <f aca="false">D32*(Supuestos!$C$14+Supuestos!$E$7)</f>
        <v>1305546.66666667</v>
      </c>
      <c r="I32" s="27" t="n">
        <f aca="false">D32*Supuestos!$C$43</f>
        <v>972632.266666667</v>
      </c>
      <c r="J32" s="27" t="n">
        <f aca="false">IF(A32=0,0,Supuestos!$C$44+G32*Supuestos!$C$26)</f>
        <v>145900</v>
      </c>
      <c r="K32" s="28" t="n">
        <f aca="false">F32*Supuestos!$C$20</f>
        <v>10605</v>
      </c>
      <c r="L32" s="27" t="n">
        <f aca="false">IF(A32=0,Supuestos!$C$45,0)</f>
        <v>0</v>
      </c>
      <c r="M32" s="28" t="n">
        <f aca="false">IF(A32=0,-L32,H32-I32-J32-K32)</f>
        <v>176409.4</v>
      </c>
      <c r="N32" s="28" t="n">
        <f aca="false">N31+M32</f>
        <v>2056109.5</v>
      </c>
      <c r="O32" s="29" t="n">
        <f aca="false">1/(1+Supuestos!$C$46)^A32</f>
        <v>0.813421877446088</v>
      </c>
      <c r="P32" s="28" t="n">
        <f aca="false">M32*O32</f>
        <v>143495.265347138</v>
      </c>
      <c r="Q32" s="28" t="n">
        <f aca="false">Q31+P32</f>
        <v>1696412.55729818</v>
      </c>
      <c r="R32" s="30" t="n">
        <f aca="false">IF(AND(A32&gt;0,N32&gt;=0),1,0)</f>
        <v>1</v>
      </c>
      <c r="S32" s="30" t="n">
        <f aca="false">IF(AND(A32&gt;0,Q32&gt;=0),1,0)</f>
        <v>1</v>
      </c>
    </row>
    <row r="33" customFormat="false" ht="15" hidden="false" customHeight="false" outlineLevel="0" collapsed="false">
      <c r="A33" s="4" t="n">
        <v>27</v>
      </c>
      <c r="B33" s="31" t="n">
        <f aca="false">IF(A33=0,0,IF(A33&lt;=Supuestos!$C$24,Supuestos!$C$22,IF(A33&gt;=Supuestos!$E$8,$V$7,Supuestos!$C$22+($V$7-Supuestos!$C$22)*(A33-Supuestos!$C$24)/(Supuestos!$E$8-Supuestos!$C$24))))</f>
        <v>301.28</v>
      </c>
      <c r="C33" s="31" t="n">
        <f aca="false">B33*Supuestos!$E$6</f>
        <v>3012.8</v>
      </c>
      <c r="D33" s="32" t="n">
        <f aca="false">C33*Supuestos!$C$42</f>
        <v>13055.4666666667</v>
      </c>
      <c r="E33" s="32" t="n">
        <f aca="false">IF(A33=0,0,MAX(Supuestos!$C$23,ROUNDUP(C33/Supuestos!$C$18,0)))</f>
        <v>101</v>
      </c>
      <c r="F33" s="31" t="n">
        <f aca="false">MAX(0,E33-IF(A32=0,Supuestos!$C$23,E32))+Supuestos!$C$19*E33</f>
        <v>3.03</v>
      </c>
      <c r="G33" s="32" t="n">
        <f aca="false">IF(A33=0,0,MAX(1,ROUNDUP(B33/Supuestos!$C$21,0)))</f>
        <v>4</v>
      </c>
      <c r="H33" s="33" t="n">
        <f aca="false">D33*(Supuestos!$C$14+Supuestos!$E$7)</f>
        <v>1305546.66666667</v>
      </c>
      <c r="I33" s="33" t="n">
        <f aca="false">D33*Supuestos!$C$43</f>
        <v>972632.266666667</v>
      </c>
      <c r="J33" s="33" t="n">
        <f aca="false">IF(A33=0,0,Supuestos!$C$44+G33*Supuestos!$C$26)</f>
        <v>145900</v>
      </c>
      <c r="K33" s="21" t="n">
        <f aca="false">F33*Supuestos!$C$20</f>
        <v>10605</v>
      </c>
      <c r="L33" s="33" t="n">
        <f aca="false">IF(A33=0,Supuestos!$C$45,0)</f>
        <v>0</v>
      </c>
      <c r="M33" s="21" t="n">
        <f aca="false">IF(A33=0,-L33,H33-I33-J33-K33)</f>
        <v>176409.4</v>
      </c>
      <c r="N33" s="21" t="n">
        <f aca="false">N32+M33</f>
        <v>2232518.9</v>
      </c>
      <c r="O33" s="34" t="n">
        <f aca="false">1/(1+Supuestos!$C$46)^A33</f>
        <v>0.806986850972157</v>
      </c>
      <c r="P33" s="21" t="n">
        <f aca="false">M33*O33</f>
        <v>142360.066187888</v>
      </c>
      <c r="Q33" s="21" t="n">
        <f aca="false">Q32+P33</f>
        <v>1838772.62348607</v>
      </c>
      <c r="R33" s="35" t="n">
        <f aca="false">IF(AND(A33&gt;0,N33&gt;=0),1,0)</f>
        <v>1</v>
      </c>
      <c r="S33" s="35" t="n">
        <f aca="false">IF(AND(A33&gt;0,Q33&gt;=0),1,0)</f>
        <v>1</v>
      </c>
    </row>
    <row r="34" customFormat="false" ht="15" hidden="false" customHeight="false" outlineLevel="0" collapsed="false">
      <c r="A34" s="24" t="n">
        <v>28</v>
      </c>
      <c r="B34" s="25" t="n">
        <f aca="false">IF(A34=0,0,IF(A34&lt;=Supuestos!$C$24,Supuestos!$C$22,IF(A34&gt;=Supuestos!$E$8,$V$7,Supuestos!$C$22+($V$7-Supuestos!$C$22)*(A34-Supuestos!$C$24)/(Supuestos!$E$8-Supuestos!$C$24))))</f>
        <v>301.28</v>
      </c>
      <c r="C34" s="25" t="n">
        <f aca="false">B34*Supuestos!$E$6</f>
        <v>3012.8</v>
      </c>
      <c r="D34" s="26" t="n">
        <f aca="false">C34*Supuestos!$C$42</f>
        <v>13055.4666666667</v>
      </c>
      <c r="E34" s="26" t="n">
        <f aca="false">IF(A34=0,0,MAX(Supuestos!$C$23,ROUNDUP(C34/Supuestos!$C$18,0)))</f>
        <v>101</v>
      </c>
      <c r="F34" s="25" t="n">
        <f aca="false">MAX(0,E34-IF(A33=0,Supuestos!$C$23,E33))+Supuestos!$C$19*E34</f>
        <v>3.03</v>
      </c>
      <c r="G34" s="26" t="n">
        <f aca="false">IF(A34=0,0,MAX(1,ROUNDUP(B34/Supuestos!$C$21,0)))</f>
        <v>4</v>
      </c>
      <c r="H34" s="27" t="n">
        <f aca="false">D34*(Supuestos!$C$14+Supuestos!$E$7)</f>
        <v>1305546.66666667</v>
      </c>
      <c r="I34" s="27" t="n">
        <f aca="false">D34*Supuestos!$C$43</f>
        <v>972632.266666667</v>
      </c>
      <c r="J34" s="27" t="n">
        <f aca="false">IF(A34=0,0,Supuestos!$C$44+G34*Supuestos!$C$26)</f>
        <v>145900</v>
      </c>
      <c r="K34" s="28" t="n">
        <f aca="false">F34*Supuestos!$C$20</f>
        <v>10605</v>
      </c>
      <c r="L34" s="27" t="n">
        <f aca="false">IF(A34=0,Supuestos!$C$45,0)</f>
        <v>0</v>
      </c>
      <c r="M34" s="28" t="n">
        <f aca="false">IF(A34=0,-L34,H34-I34-J34-K34)</f>
        <v>176409.4</v>
      </c>
      <c r="N34" s="28" t="n">
        <f aca="false">N33+M34</f>
        <v>2408928.3</v>
      </c>
      <c r="O34" s="29" t="n">
        <f aca="false">1/(1+Supuestos!$C$46)^A34</f>
        <v>0.800602732356582</v>
      </c>
      <c r="P34" s="28" t="n">
        <f aca="false">M34*O34</f>
        <v>141233.847653385</v>
      </c>
      <c r="Q34" s="28" t="n">
        <f aca="false">Q33+P34</f>
        <v>1980006.47113945</v>
      </c>
      <c r="R34" s="30" t="n">
        <f aca="false">IF(AND(A34&gt;0,N34&gt;=0),1,0)</f>
        <v>1</v>
      </c>
      <c r="S34" s="30" t="n">
        <f aca="false">IF(AND(A34&gt;0,Q34&gt;=0),1,0)</f>
        <v>1</v>
      </c>
    </row>
    <row r="35" customFormat="false" ht="15" hidden="false" customHeight="false" outlineLevel="0" collapsed="false">
      <c r="A35" s="4" t="n">
        <v>29</v>
      </c>
      <c r="B35" s="31" t="n">
        <f aca="false">IF(A35=0,0,IF(A35&lt;=Supuestos!$C$24,Supuestos!$C$22,IF(A35&gt;=Supuestos!$E$8,$V$7,Supuestos!$C$22+($V$7-Supuestos!$C$22)*(A35-Supuestos!$C$24)/(Supuestos!$E$8-Supuestos!$C$24))))</f>
        <v>301.28</v>
      </c>
      <c r="C35" s="31" t="n">
        <f aca="false">B35*Supuestos!$E$6</f>
        <v>3012.8</v>
      </c>
      <c r="D35" s="32" t="n">
        <f aca="false">C35*Supuestos!$C$42</f>
        <v>13055.4666666667</v>
      </c>
      <c r="E35" s="32" t="n">
        <f aca="false">IF(A35=0,0,MAX(Supuestos!$C$23,ROUNDUP(C35/Supuestos!$C$18,0)))</f>
        <v>101</v>
      </c>
      <c r="F35" s="31" t="n">
        <f aca="false">MAX(0,E35-IF(A34=0,Supuestos!$C$23,E34))+Supuestos!$C$19*E35</f>
        <v>3.03</v>
      </c>
      <c r="G35" s="32" t="n">
        <f aca="false">IF(A35=0,0,MAX(1,ROUNDUP(B35/Supuestos!$C$21,0)))</f>
        <v>4</v>
      </c>
      <c r="H35" s="33" t="n">
        <f aca="false">D35*(Supuestos!$C$14+Supuestos!$E$7)</f>
        <v>1305546.66666667</v>
      </c>
      <c r="I35" s="33" t="n">
        <f aca="false">D35*Supuestos!$C$43</f>
        <v>972632.266666667</v>
      </c>
      <c r="J35" s="33" t="n">
        <f aca="false">IF(A35=0,0,Supuestos!$C$44+G35*Supuestos!$C$26)</f>
        <v>145900</v>
      </c>
      <c r="K35" s="21" t="n">
        <f aca="false">F35*Supuestos!$C$20</f>
        <v>10605</v>
      </c>
      <c r="L35" s="33" t="n">
        <f aca="false">IF(A35=0,Supuestos!$C$45,0)</f>
        <v>0</v>
      </c>
      <c r="M35" s="21" t="n">
        <f aca="false">IF(A35=0,-L35,H35-I35-J35-K35)</f>
        <v>176409.4</v>
      </c>
      <c r="N35" s="21" t="n">
        <f aca="false">N34+M35</f>
        <v>2585337.7</v>
      </c>
      <c r="O35" s="34" t="n">
        <f aca="false">1/(1+Supuestos!$C$46)^A35</f>
        <v>0.794269118864415</v>
      </c>
      <c r="P35" s="21" t="n">
        <f aca="false">M35*O35</f>
        <v>140116.5386974</v>
      </c>
      <c r="Q35" s="21" t="n">
        <f aca="false">Q34+P35</f>
        <v>2120123.00983685</v>
      </c>
      <c r="R35" s="35" t="n">
        <f aca="false">IF(AND(A35&gt;0,N35&gt;=0),1,0)</f>
        <v>1</v>
      </c>
      <c r="S35" s="35" t="n">
        <f aca="false">IF(AND(A35&gt;0,Q35&gt;=0),1,0)</f>
        <v>1</v>
      </c>
    </row>
    <row r="36" customFormat="false" ht="15" hidden="false" customHeight="false" outlineLevel="0" collapsed="false">
      <c r="A36" s="24" t="n">
        <v>30</v>
      </c>
      <c r="B36" s="25" t="n">
        <f aca="false">IF(A36=0,0,IF(A36&lt;=Supuestos!$C$24,Supuestos!$C$22,IF(A36&gt;=Supuestos!$E$8,$V$7,Supuestos!$C$22+($V$7-Supuestos!$C$22)*(A36-Supuestos!$C$24)/(Supuestos!$E$8-Supuestos!$C$24))))</f>
        <v>301.28</v>
      </c>
      <c r="C36" s="25" t="n">
        <f aca="false">B36*Supuestos!$E$6</f>
        <v>3012.8</v>
      </c>
      <c r="D36" s="26" t="n">
        <f aca="false">C36*Supuestos!$C$42</f>
        <v>13055.4666666667</v>
      </c>
      <c r="E36" s="26" t="n">
        <f aca="false">IF(A36=0,0,MAX(Supuestos!$C$23,ROUNDUP(C36/Supuestos!$C$18,0)))</f>
        <v>101</v>
      </c>
      <c r="F36" s="25" t="n">
        <f aca="false">MAX(0,E36-IF(A35=0,Supuestos!$C$23,E35))+Supuestos!$C$19*E36</f>
        <v>3.03</v>
      </c>
      <c r="G36" s="26" t="n">
        <f aca="false">IF(A36=0,0,MAX(1,ROUNDUP(B36/Supuestos!$C$21,0)))</f>
        <v>4</v>
      </c>
      <c r="H36" s="27" t="n">
        <f aca="false">D36*(Supuestos!$C$14+Supuestos!$E$7)</f>
        <v>1305546.66666667</v>
      </c>
      <c r="I36" s="27" t="n">
        <f aca="false">D36*Supuestos!$C$43</f>
        <v>972632.266666667</v>
      </c>
      <c r="J36" s="27" t="n">
        <f aca="false">IF(A36=0,0,Supuestos!$C$44+G36*Supuestos!$C$26)</f>
        <v>145900</v>
      </c>
      <c r="K36" s="28" t="n">
        <f aca="false">F36*Supuestos!$C$20</f>
        <v>10605</v>
      </c>
      <c r="L36" s="27" t="n">
        <f aca="false">IF(A36=0,Supuestos!$C$45,0)</f>
        <v>0</v>
      </c>
      <c r="M36" s="28" t="n">
        <f aca="false">IF(A36=0,-L36,H36-I36-J36-K36)</f>
        <v>176409.4</v>
      </c>
      <c r="N36" s="28" t="n">
        <f aca="false">N35+M36</f>
        <v>2761747.1</v>
      </c>
      <c r="O36" s="29" t="n">
        <f aca="false">1/(1+Supuestos!$C$46)^A36</f>
        <v>0.78798561094677</v>
      </c>
      <c r="P36" s="28" t="n">
        <f aca="false">M36*O36</f>
        <v>139008.068835753</v>
      </c>
      <c r="Q36" s="28" t="n">
        <f aca="false">Q35+P36</f>
        <v>2259131.07867261</v>
      </c>
      <c r="R36" s="30" t="n">
        <f aca="false">IF(AND(A36&gt;0,N36&gt;=0),1,0)</f>
        <v>1</v>
      </c>
      <c r="S36" s="30" t="n">
        <f aca="false">IF(AND(A36&gt;0,Q36&gt;=0),1,0)</f>
        <v>1</v>
      </c>
    </row>
    <row r="37" customFormat="false" ht="15" hidden="false" customHeight="false" outlineLevel="0" collapsed="false">
      <c r="A37" s="4" t="n">
        <v>31</v>
      </c>
      <c r="B37" s="31" t="n">
        <f aca="false">IF(A37=0,0,IF(A37&lt;=Supuestos!$C$24,Supuestos!$C$22,IF(A37&gt;=Supuestos!$E$8,$V$7,Supuestos!$C$22+($V$7-Supuestos!$C$22)*(A37-Supuestos!$C$24)/(Supuestos!$E$8-Supuestos!$C$24))))</f>
        <v>301.28</v>
      </c>
      <c r="C37" s="31" t="n">
        <f aca="false">B37*Supuestos!$E$6</f>
        <v>3012.8</v>
      </c>
      <c r="D37" s="32" t="n">
        <f aca="false">C37*Supuestos!$C$42</f>
        <v>13055.4666666667</v>
      </c>
      <c r="E37" s="32" t="n">
        <f aca="false">IF(A37=0,0,MAX(Supuestos!$C$23,ROUNDUP(C37/Supuestos!$C$18,0)))</f>
        <v>101</v>
      </c>
      <c r="F37" s="31" t="n">
        <f aca="false">MAX(0,E37-IF(A36=0,Supuestos!$C$23,E36))+Supuestos!$C$19*E37</f>
        <v>3.03</v>
      </c>
      <c r="G37" s="32" t="n">
        <f aca="false">IF(A37=0,0,MAX(1,ROUNDUP(B37/Supuestos!$C$21,0)))</f>
        <v>4</v>
      </c>
      <c r="H37" s="33" t="n">
        <f aca="false">D37*(Supuestos!$C$14+Supuestos!$E$7)</f>
        <v>1305546.66666667</v>
      </c>
      <c r="I37" s="33" t="n">
        <f aca="false">D37*Supuestos!$C$43</f>
        <v>972632.266666667</v>
      </c>
      <c r="J37" s="33" t="n">
        <f aca="false">IF(A37=0,0,Supuestos!$C$44+G37*Supuestos!$C$26)</f>
        <v>145900</v>
      </c>
      <c r="K37" s="21" t="n">
        <f aca="false">F37*Supuestos!$C$20</f>
        <v>10605</v>
      </c>
      <c r="L37" s="33" t="n">
        <f aca="false">IF(A37=0,Supuestos!$C$45,0)</f>
        <v>0</v>
      </c>
      <c r="M37" s="21" t="n">
        <f aca="false">IF(A37=0,-L37,H37-I37-J37-K37)</f>
        <v>176409.4</v>
      </c>
      <c r="N37" s="21" t="n">
        <f aca="false">N36+M37</f>
        <v>2938156.5</v>
      </c>
      <c r="O37" s="34" t="n">
        <f aca="false">1/(1+Supuestos!$C$46)^A37</f>
        <v>0.781751812215613</v>
      </c>
      <c r="P37" s="21" t="n">
        <f aca="false">M37*O37</f>
        <v>137908.368141869</v>
      </c>
      <c r="Q37" s="21" t="n">
        <f aca="false">Q36+P37</f>
        <v>2397039.44681448</v>
      </c>
      <c r="R37" s="35" t="n">
        <f aca="false">IF(AND(A37&gt;0,N37&gt;=0),1,0)</f>
        <v>1</v>
      </c>
      <c r="S37" s="35" t="n">
        <f aca="false">IF(AND(A37&gt;0,Q37&gt;=0),1,0)</f>
        <v>1</v>
      </c>
    </row>
    <row r="38" customFormat="false" ht="15" hidden="false" customHeight="false" outlineLevel="0" collapsed="false">
      <c r="A38" s="24" t="n">
        <v>32</v>
      </c>
      <c r="B38" s="25" t="n">
        <f aca="false">IF(A38=0,0,IF(A38&lt;=Supuestos!$C$24,Supuestos!$C$22,IF(A38&gt;=Supuestos!$E$8,$V$7,Supuestos!$C$22+($V$7-Supuestos!$C$22)*(A38-Supuestos!$C$24)/(Supuestos!$E$8-Supuestos!$C$24))))</f>
        <v>301.28</v>
      </c>
      <c r="C38" s="25" t="n">
        <f aca="false">B38*Supuestos!$E$6</f>
        <v>3012.8</v>
      </c>
      <c r="D38" s="26" t="n">
        <f aca="false">C38*Supuestos!$C$42</f>
        <v>13055.4666666667</v>
      </c>
      <c r="E38" s="26" t="n">
        <f aca="false">IF(A38=0,0,MAX(Supuestos!$C$23,ROUNDUP(C38/Supuestos!$C$18,0)))</f>
        <v>101</v>
      </c>
      <c r="F38" s="25" t="n">
        <f aca="false">MAX(0,E38-IF(A37=0,Supuestos!$C$23,E37))+Supuestos!$C$19*E38</f>
        <v>3.03</v>
      </c>
      <c r="G38" s="26" t="n">
        <f aca="false">IF(A38=0,0,MAX(1,ROUNDUP(B38/Supuestos!$C$21,0)))</f>
        <v>4</v>
      </c>
      <c r="H38" s="27" t="n">
        <f aca="false">D38*(Supuestos!$C$14+Supuestos!$E$7)</f>
        <v>1305546.66666667</v>
      </c>
      <c r="I38" s="27" t="n">
        <f aca="false">D38*Supuestos!$C$43</f>
        <v>972632.266666667</v>
      </c>
      <c r="J38" s="27" t="n">
        <f aca="false">IF(A38=0,0,Supuestos!$C$44+G38*Supuestos!$C$26)</f>
        <v>145900</v>
      </c>
      <c r="K38" s="28" t="n">
        <f aca="false">F38*Supuestos!$C$20</f>
        <v>10605</v>
      </c>
      <c r="L38" s="27" t="n">
        <f aca="false">IF(A38=0,Supuestos!$C$45,0)</f>
        <v>0</v>
      </c>
      <c r="M38" s="28" t="n">
        <f aca="false">IF(A38=0,-L38,H38-I38-J38-K38)</f>
        <v>176409.4</v>
      </c>
      <c r="N38" s="28" t="n">
        <f aca="false">N37+M38</f>
        <v>3114565.9</v>
      </c>
      <c r="O38" s="29" t="n">
        <f aca="false">1/(1+Supuestos!$C$46)^A38</f>
        <v>0.775567329418758</v>
      </c>
      <c r="P38" s="28" t="n">
        <f aca="false">M38*O38</f>
        <v>136817.367242365</v>
      </c>
      <c r="Q38" s="28" t="n">
        <f aca="false">Q37+P38</f>
        <v>2533856.81405684</v>
      </c>
      <c r="R38" s="30" t="n">
        <f aca="false">IF(AND(A38&gt;0,N38&gt;=0),1,0)</f>
        <v>1</v>
      </c>
      <c r="S38" s="30" t="n">
        <f aca="false">IF(AND(A38&gt;0,Q38&gt;=0),1,0)</f>
        <v>1</v>
      </c>
    </row>
    <row r="39" customFormat="false" ht="15" hidden="false" customHeight="false" outlineLevel="0" collapsed="false">
      <c r="A39" s="4" t="n">
        <v>33</v>
      </c>
      <c r="B39" s="31" t="n">
        <f aca="false">IF(A39=0,0,IF(A39&lt;=Supuestos!$C$24,Supuestos!$C$22,IF(A39&gt;=Supuestos!$E$8,$V$7,Supuestos!$C$22+($V$7-Supuestos!$C$22)*(A39-Supuestos!$C$24)/(Supuestos!$E$8-Supuestos!$C$24))))</f>
        <v>301.28</v>
      </c>
      <c r="C39" s="31" t="n">
        <f aca="false">B39*Supuestos!$E$6</f>
        <v>3012.8</v>
      </c>
      <c r="D39" s="32" t="n">
        <f aca="false">C39*Supuestos!$C$42</f>
        <v>13055.4666666667</v>
      </c>
      <c r="E39" s="32" t="n">
        <f aca="false">IF(A39=0,0,MAX(Supuestos!$C$23,ROUNDUP(C39/Supuestos!$C$18,0)))</f>
        <v>101</v>
      </c>
      <c r="F39" s="31" t="n">
        <f aca="false">MAX(0,E39-IF(A38=0,Supuestos!$C$23,E38))+Supuestos!$C$19*E39</f>
        <v>3.03</v>
      </c>
      <c r="G39" s="32" t="n">
        <f aca="false">IF(A39=0,0,MAX(1,ROUNDUP(B39/Supuestos!$C$21,0)))</f>
        <v>4</v>
      </c>
      <c r="H39" s="33" t="n">
        <f aca="false">D39*(Supuestos!$C$14+Supuestos!$E$7)</f>
        <v>1305546.66666667</v>
      </c>
      <c r="I39" s="33" t="n">
        <f aca="false">D39*Supuestos!$C$43</f>
        <v>972632.266666667</v>
      </c>
      <c r="J39" s="33" t="n">
        <f aca="false">IF(A39=0,0,Supuestos!$C$44+G39*Supuestos!$C$26)</f>
        <v>145900</v>
      </c>
      <c r="K39" s="21" t="n">
        <f aca="false">F39*Supuestos!$C$20</f>
        <v>10605</v>
      </c>
      <c r="L39" s="33" t="n">
        <f aca="false">IF(A39=0,Supuestos!$C$45,0)</f>
        <v>0</v>
      </c>
      <c r="M39" s="21" t="n">
        <f aca="false">IF(A39=0,-L39,H39-I39-J39-K39)</f>
        <v>176409.4</v>
      </c>
      <c r="N39" s="21" t="n">
        <f aca="false">N38+M39</f>
        <v>3290975.3</v>
      </c>
      <c r="O39" s="34" t="n">
        <f aca="false">1/(1+Supuestos!$C$46)^A39</f>
        <v>0.76943177241506</v>
      </c>
      <c r="P39" s="21" t="n">
        <f aca="false">M39*O39</f>
        <v>135734.997312677</v>
      </c>
      <c r="Q39" s="21" t="n">
        <f aca="false">Q38+P39</f>
        <v>2669591.81136952</v>
      </c>
      <c r="R39" s="35" t="n">
        <f aca="false">IF(AND(A39&gt;0,N39&gt;=0),1,0)</f>
        <v>1</v>
      </c>
      <c r="S39" s="35" t="n">
        <f aca="false">IF(AND(A39&gt;0,Q39&gt;=0),1,0)</f>
        <v>1</v>
      </c>
    </row>
    <row r="40" customFormat="false" ht="15" hidden="false" customHeight="false" outlineLevel="0" collapsed="false">
      <c r="A40" s="24" t="n">
        <v>34</v>
      </c>
      <c r="B40" s="25" t="n">
        <f aca="false">IF(A40=0,0,IF(A40&lt;=Supuestos!$C$24,Supuestos!$C$22,IF(A40&gt;=Supuestos!$E$8,$V$7,Supuestos!$C$22+($V$7-Supuestos!$C$22)*(A40-Supuestos!$C$24)/(Supuestos!$E$8-Supuestos!$C$24))))</f>
        <v>301.28</v>
      </c>
      <c r="C40" s="25" t="n">
        <f aca="false">B40*Supuestos!$E$6</f>
        <v>3012.8</v>
      </c>
      <c r="D40" s="26" t="n">
        <f aca="false">C40*Supuestos!$C$42</f>
        <v>13055.4666666667</v>
      </c>
      <c r="E40" s="26" t="n">
        <f aca="false">IF(A40=0,0,MAX(Supuestos!$C$23,ROUNDUP(C40/Supuestos!$C$18,0)))</f>
        <v>101</v>
      </c>
      <c r="F40" s="25" t="n">
        <f aca="false">MAX(0,E40-IF(A39=0,Supuestos!$C$23,E39))+Supuestos!$C$19*E40</f>
        <v>3.03</v>
      </c>
      <c r="G40" s="26" t="n">
        <f aca="false">IF(A40=0,0,MAX(1,ROUNDUP(B40/Supuestos!$C$21,0)))</f>
        <v>4</v>
      </c>
      <c r="H40" s="27" t="n">
        <f aca="false">D40*(Supuestos!$C$14+Supuestos!$E$7)</f>
        <v>1305546.66666667</v>
      </c>
      <c r="I40" s="27" t="n">
        <f aca="false">D40*Supuestos!$C$43</f>
        <v>972632.266666667</v>
      </c>
      <c r="J40" s="27" t="n">
        <f aca="false">IF(A40=0,0,Supuestos!$C$44+G40*Supuestos!$C$26)</f>
        <v>145900</v>
      </c>
      <c r="K40" s="28" t="n">
        <f aca="false">F40*Supuestos!$C$20</f>
        <v>10605</v>
      </c>
      <c r="L40" s="27" t="n">
        <f aca="false">IF(A40=0,Supuestos!$C$45,0)</f>
        <v>0</v>
      </c>
      <c r="M40" s="28" t="n">
        <f aca="false">IF(A40=0,-L40,H40-I40-J40-K40)</f>
        <v>176409.4</v>
      </c>
      <c r="N40" s="28" t="n">
        <f aca="false">N39+M40</f>
        <v>3467384.7</v>
      </c>
      <c r="O40" s="29" t="n">
        <f aca="false">1/(1+Supuestos!$C$46)^A40</f>
        <v>0.763344754149802</v>
      </c>
      <c r="P40" s="28" t="n">
        <f aca="false">M40*O40</f>
        <v>134661.190072714</v>
      </c>
      <c r="Q40" s="28" t="n">
        <f aca="false">Q39+P40</f>
        <v>2804253.00144223</v>
      </c>
      <c r="R40" s="30" t="n">
        <f aca="false">IF(AND(A40&gt;0,N40&gt;=0),1,0)</f>
        <v>1</v>
      </c>
      <c r="S40" s="30" t="n">
        <f aca="false">IF(AND(A40&gt;0,Q40&gt;=0),1,0)</f>
        <v>1</v>
      </c>
    </row>
    <row r="41" customFormat="false" ht="15" hidden="false" customHeight="false" outlineLevel="0" collapsed="false">
      <c r="A41" s="4" t="n">
        <v>35</v>
      </c>
      <c r="B41" s="31" t="n">
        <f aca="false">IF(A41=0,0,IF(A41&lt;=Supuestos!$C$24,Supuestos!$C$22,IF(A41&gt;=Supuestos!$E$8,$V$7,Supuestos!$C$22+($V$7-Supuestos!$C$22)*(A41-Supuestos!$C$24)/(Supuestos!$E$8-Supuestos!$C$24))))</f>
        <v>301.28</v>
      </c>
      <c r="C41" s="31" t="n">
        <f aca="false">B41*Supuestos!$E$6</f>
        <v>3012.8</v>
      </c>
      <c r="D41" s="32" t="n">
        <f aca="false">C41*Supuestos!$C$42</f>
        <v>13055.4666666667</v>
      </c>
      <c r="E41" s="32" t="n">
        <f aca="false">IF(A41=0,0,MAX(Supuestos!$C$23,ROUNDUP(C41/Supuestos!$C$18,0)))</f>
        <v>101</v>
      </c>
      <c r="F41" s="31" t="n">
        <f aca="false">MAX(0,E41-IF(A40=0,Supuestos!$C$23,E40))+Supuestos!$C$19*E41</f>
        <v>3.03</v>
      </c>
      <c r="G41" s="32" t="n">
        <f aca="false">IF(A41=0,0,MAX(1,ROUNDUP(B41/Supuestos!$C$21,0)))</f>
        <v>4</v>
      </c>
      <c r="H41" s="33" t="n">
        <f aca="false">D41*(Supuestos!$C$14+Supuestos!$E$7)</f>
        <v>1305546.66666667</v>
      </c>
      <c r="I41" s="33" t="n">
        <f aca="false">D41*Supuestos!$C$43</f>
        <v>972632.266666667</v>
      </c>
      <c r="J41" s="33" t="n">
        <f aca="false">IF(A41=0,0,Supuestos!$C$44+G41*Supuestos!$C$26)</f>
        <v>145900</v>
      </c>
      <c r="K41" s="21" t="n">
        <f aca="false">F41*Supuestos!$C$20</f>
        <v>10605</v>
      </c>
      <c r="L41" s="33" t="n">
        <f aca="false">IF(A41=0,Supuestos!$C$45,0)</f>
        <v>0</v>
      </c>
      <c r="M41" s="21" t="n">
        <f aca="false">IF(A41=0,-L41,H41-I41-J41-K41)</f>
        <v>176409.4</v>
      </c>
      <c r="N41" s="21" t="n">
        <f aca="false">N40+M41</f>
        <v>3643794.1</v>
      </c>
      <c r="O41" s="34" t="n">
        <f aca="false">1/(1+Supuestos!$C$46)^A41</f>
        <v>0.75730589063028</v>
      </c>
      <c r="P41" s="21" t="n">
        <f aca="false">M41*O41</f>
        <v>133595.877782553</v>
      </c>
      <c r="Q41" s="21" t="n">
        <f aca="false">Q40+P41</f>
        <v>2937848.87922479</v>
      </c>
      <c r="R41" s="35" t="n">
        <f aca="false">IF(AND(A41&gt;0,N41&gt;=0),1,0)</f>
        <v>1</v>
      </c>
      <c r="S41" s="35" t="n">
        <f aca="false">IF(AND(A41&gt;0,Q41&gt;=0),1,0)</f>
        <v>1</v>
      </c>
    </row>
    <row r="42" customFormat="false" ht="15" hidden="false" customHeight="false" outlineLevel="0" collapsed="false">
      <c r="A42" s="24" t="n">
        <v>36</v>
      </c>
      <c r="B42" s="25" t="n">
        <f aca="false">IF(A42=0,0,IF(A42&lt;=Supuestos!$C$24,Supuestos!$C$22,IF(A42&gt;=Supuestos!$E$8,$V$7,Supuestos!$C$22+($V$7-Supuestos!$C$22)*(A42-Supuestos!$C$24)/(Supuestos!$E$8-Supuestos!$C$24))))</f>
        <v>301.28</v>
      </c>
      <c r="C42" s="25" t="n">
        <f aca="false">B42*Supuestos!$E$6</f>
        <v>3012.8</v>
      </c>
      <c r="D42" s="26" t="n">
        <f aca="false">C42*Supuestos!$C$42</f>
        <v>13055.4666666667</v>
      </c>
      <c r="E42" s="26" t="n">
        <f aca="false">IF(A42=0,0,MAX(Supuestos!$C$23,ROUNDUP(C42/Supuestos!$C$18,0)))</f>
        <v>101</v>
      </c>
      <c r="F42" s="25" t="n">
        <f aca="false">MAX(0,E42-IF(A41=0,Supuestos!$C$23,E41))+Supuestos!$C$19*E42</f>
        <v>3.03</v>
      </c>
      <c r="G42" s="26" t="n">
        <f aca="false">IF(A42=0,0,MAX(1,ROUNDUP(B42/Supuestos!$C$21,0)))</f>
        <v>4</v>
      </c>
      <c r="H42" s="27" t="n">
        <f aca="false">D42*(Supuestos!$C$14+Supuestos!$E$7)</f>
        <v>1305546.66666667</v>
      </c>
      <c r="I42" s="27" t="n">
        <f aca="false">D42*Supuestos!$C$43</f>
        <v>972632.266666667</v>
      </c>
      <c r="J42" s="27" t="n">
        <f aca="false">IF(A42=0,0,Supuestos!$C$44+G42*Supuestos!$C$26)</f>
        <v>145900</v>
      </c>
      <c r="K42" s="28" t="n">
        <f aca="false">F42*Supuestos!$C$20</f>
        <v>10605</v>
      </c>
      <c r="L42" s="27" t="n">
        <f aca="false">IF(A42=0,Supuestos!$C$45,0)</f>
        <v>0</v>
      </c>
      <c r="M42" s="28" t="n">
        <f aca="false">IF(A42=0,-L42,H42-I42-J42-K42)</f>
        <v>176409.4</v>
      </c>
      <c r="N42" s="28" t="n">
        <f aca="false">N41+M42</f>
        <v>3820203.5</v>
      </c>
      <c r="O42" s="29" t="n">
        <f aca="false">1/(1+Supuestos!$C$46)^A42</f>
        <v>0.751314800901577</v>
      </c>
      <c r="P42" s="28" t="n">
        <f aca="false">M42*O42</f>
        <v>132538.993238167</v>
      </c>
      <c r="Q42" s="28" t="n">
        <f aca="false">Q41+P42</f>
        <v>3070387.87246295</v>
      </c>
      <c r="R42" s="30" t="n">
        <f aca="false">IF(AND(A42&gt;0,N42&gt;=0),1,0)</f>
        <v>1</v>
      </c>
      <c r="S42" s="30" t="n">
        <f aca="false">IF(AND(A42&gt;0,Q42&gt;=0),1,0)</f>
        <v>1</v>
      </c>
    </row>
    <row r="43" customFormat="false" ht="15" hidden="false" customHeight="false" outlineLevel="0" collapsed="false">
      <c r="A43" s="4" t="n">
        <v>37</v>
      </c>
      <c r="B43" s="31" t="n">
        <f aca="false">IF(A43=0,0,IF(A43&lt;=Supuestos!$C$24,Supuestos!$C$22,IF(A43&gt;=Supuestos!$E$8,$V$7,Supuestos!$C$22+($V$7-Supuestos!$C$22)*(A43-Supuestos!$C$24)/(Supuestos!$E$8-Supuestos!$C$24))))</f>
        <v>301.28</v>
      </c>
      <c r="C43" s="31" t="n">
        <f aca="false">B43*Supuestos!$E$6</f>
        <v>3012.8</v>
      </c>
      <c r="D43" s="32" t="n">
        <f aca="false">C43*Supuestos!$C$42</f>
        <v>13055.4666666667</v>
      </c>
      <c r="E43" s="32" t="n">
        <f aca="false">IF(A43=0,0,MAX(Supuestos!$C$23,ROUNDUP(C43/Supuestos!$C$18,0)))</f>
        <v>101</v>
      </c>
      <c r="F43" s="31" t="n">
        <f aca="false">MAX(0,E43-IF(A42=0,Supuestos!$C$23,E42))+Supuestos!$C$19*E43</f>
        <v>3.03</v>
      </c>
      <c r="G43" s="32" t="n">
        <f aca="false">IF(A43=0,0,MAX(1,ROUNDUP(B43/Supuestos!$C$21,0)))</f>
        <v>4</v>
      </c>
      <c r="H43" s="33" t="n">
        <f aca="false">D43*(Supuestos!$C$14+Supuestos!$E$7)</f>
        <v>1305546.66666667</v>
      </c>
      <c r="I43" s="33" t="n">
        <f aca="false">D43*Supuestos!$C$43</f>
        <v>972632.266666667</v>
      </c>
      <c r="J43" s="33" t="n">
        <f aca="false">IF(A43=0,0,Supuestos!$C$44+G43*Supuestos!$C$26)</f>
        <v>145900</v>
      </c>
      <c r="K43" s="21" t="n">
        <f aca="false">F43*Supuestos!$C$20</f>
        <v>10605</v>
      </c>
      <c r="L43" s="33" t="n">
        <f aca="false">IF(A43=0,Supuestos!$C$45,0)</f>
        <v>0</v>
      </c>
      <c r="M43" s="21" t="n">
        <f aca="false">IF(A43=0,-L43,H43-I43-J43-K43)</f>
        <v>176409.4</v>
      </c>
      <c r="N43" s="21" t="n">
        <f aca="false">N42+M43</f>
        <v>3996612.9</v>
      </c>
      <c r="O43" s="34" t="n">
        <f aca="false">1/(1+Supuestos!$C$46)^A43</f>
        <v>0.745371107022532</v>
      </c>
      <c r="P43" s="21" t="n">
        <f aca="false">M43*O43</f>
        <v>131490.469767181</v>
      </c>
      <c r="Q43" s="21" t="n">
        <f aca="false">Q42+P43</f>
        <v>3201878.34223013</v>
      </c>
      <c r="R43" s="35" t="n">
        <f aca="false">IF(AND(A43&gt;0,N43&gt;=0),1,0)</f>
        <v>1</v>
      </c>
      <c r="S43" s="35" t="n">
        <f aca="false">IF(AND(A43&gt;0,Q43&gt;=0),1,0)</f>
        <v>1</v>
      </c>
    </row>
    <row r="44" customFormat="false" ht="15" hidden="false" customHeight="false" outlineLevel="0" collapsed="false">
      <c r="A44" s="24" t="n">
        <v>38</v>
      </c>
      <c r="B44" s="25" t="n">
        <f aca="false">IF(A44=0,0,IF(A44&lt;=Supuestos!$C$24,Supuestos!$C$22,IF(A44&gt;=Supuestos!$E$8,$V$7,Supuestos!$C$22+($V$7-Supuestos!$C$22)*(A44-Supuestos!$C$24)/(Supuestos!$E$8-Supuestos!$C$24))))</f>
        <v>301.28</v>
      </c>
      <c r="C44" s="25" t="n">
        <f aca="false">B44*Supuestos!$E$6</f>
        <v>3012.8</v>
      </c>
      <c r="D44" s="26" t="n">
        <f aca="false">C44*Supuestos!$C$42</f>
        <v>13055.4666666667</v>
      </c>
      <c r="E44" s="26" t="n">
        <f aca="false">IF(A44=0,0,MAX(Supuestos!$C$23,ROUNDUP(C44/Supuestos!$C$18,0)))</f>
        <v>101</v>
      </c>
      <c r="F44" s="25" t="n">
        <f aca="false">MAX(0,E44-IF(A43=0,Supuestos!$C$23,E43))+Supuestos!$C$19*E44</f>
        <v>3.03</v>
      </c>
      <c r="G44" s="26" t="n">
        <f aca="false">IF(A44=0,0,MAX(1,ROUNDUP(B44/Supuestos!$C$21,0)))</f>
        <v>4</v>
      </c>
      <c r="H44" s="27" t="n">
        <f aca="false">D44*(Supuestos!$C$14+Supuestos!$E$7)</f>
        <v>1305546.66666667</v>
      </c>
      <c r="I44" s="27" t="n">
        <f aca="false">D44*Supuestos!$C$43</f>
        <v>972632.266666667</v>
      </c>
      <c r="J44" s="27" t="n">
        <f aca="false">IF(A44=0,0,Supuestos!$C$44+G44*Supuestos!$C$26)</f>
        <v>145900</v>
      </c>
      <c r="K44" s="28" t="n">
        <f aca="false">F44*Supuestos!$C$20</f>
        <v>10605</v>
      </c>
      <c r="L44" s="27" t="n">
        <f aca="false">IF(A44=0,Supuestos!$C$45,0)</f>
        <v>0</v>
      </c>
      <c r="M44" s="28" t="n">
        <f aca="false">IF(A44=0,-L44,H44-I44-J44-K44)</f>
        <v>176409.4</v>
      </c>
      <c r="N44" s="28" t="n">
        <f aca="false">N43+M44</f>
        <v>4173022.3</v>
      </c>
      <c r="O44" s="29" t="n">
        <f aca="false">1/(1+Supuestos!$C$46)^A44</f>
        <v>0.739474434041898</v>
      </c>
      <c r="P44" s="28" t="n">
        <f aca="false">M44*O44</f>
        <v>130450.241224671</v>
      </c>
      <c r="Q44" s="28" t="n">
        <f aca="false">Q43+P44</f>
        <v>3332328.5834548</v>
      </c>
      <c r="R44" s="30" t="n">
        <f aca="false">IF(AND(A44&gt;0,N44&gt;=0),1,0)</f>
        <v>1</v>
      </c>
      <c r="S44" s="30" t="n">
        <f aca="false">IF(AND(A44&gt;0,Q44&gt;=0),1,0)</f>
        <v>1</v>
      </c>
    </row>
    <row r="45" customFormat="false" ht="15" hidden="false" customHeight="false" outlineLevel="0" collapsed="false">
      <c r="A45" s="4" t="n">
        <v>39</v>
      </c>
      <c r="B45" s="31" t="n">
        <f aca="false">IF(A45=0,0,IF(A45&lt;=Supuestos!$C$24,Supuestos!$C$22,IF(A45&gt;=Supuestos!$E$8,$V$7,Supuestos!$C$22+($V$7-Supuestos!$C$22)*(A45-Supuestos!$C$24)/(Supuestos!$E$8-Supuestos!$C$24))))</f>
        <v>301.28</v>
      </c>
      <c r="C45" s="31" t="n">
        <f aca="false">B45*Supuestos!$E$6</f>
        <v>3012.8</v>
      </c>
      <c r="D45" s="32" t="n">
        <f aca="false">C45*Supuestos!$C$42</f>
        <v>13055.4666666667</v>
      </c>
      <c r="E45" s="32" t="n">
        <f aca="false">IF(A45=0,0,MAX(Supuestos!$C$23,ROUNDUP(C45/Supuestos!$C$18,0)))</f>
        <v>101</v>
      </c>
      <c r="F45" s="31" t="n">
        <f aca="false">MAX(0,E45-IF(A44=0,Supuestos!$C$23,E44))+Supuestos!$C$19*E45</f>
        <v>3.03</v>
      </c>
      <c r="G45" s="32" t="n">
        <f aca="false">IF(A45=0,0,MAX(1,ROUNDUP(B45/Supuestos!$C$21,0)))</f>
        <v>4</v>
      </c>
      <c r="H45" s="33" t="n">
        <f aca="false">D45*(Supuestos!$C$14+Supuestos!$E$7)</f>
        <v>1305546.66666667</v>
      </c>
      <c r="I45" s="33" t="n">
        <f aca="false">D45*Supuestos!$C$43</f>
        <v>972632.266666667</v>
      </c>
      <c r="J45" s="33" t="n">
        <f aca="false">IF(A45=0,0,Supuestos!$C$44+G45*Supuestos!$C$26)</f>
        <v>145900</v>
      </c>
      <c r="K45" s="21" t="n">
        <f aca="false">F45*Supuestos!$C$20</f>
        <v>10605</v>
      </c>
      <c r="L45" s="33" t="n">
        <f aca="false">IF(A45=0,Supuestos!$C$45,0)</f>
        <v>0</v>
      </c>
      <c r="M45" s="21" t="n">
        <f aca="false">IF(A45=0,-L45,H45-I45-J45-K45)</f>
        <v>176409.4</v>
      </c>
      <c r="N45" s="21" t="n">
        <f aca="false">N44+M45</f>
        <v>4349431.7</v>
      </c>
      <c r="O45" s="34" t="n">
        <f aca="false">1/(1+Supuestos!$C$46)^A45</f>
        <v>0.733624409974688</v>
      </c>
      <c r="P45" s="21" t="n">
        <f aca="false">M45*O45</f>
        <v>129418.241988989</v>
      </c>
      <c r="Q45" s="21" t="n">
        <f aca="false">Q44+P45</f>
        <v>3461746.82544379</v>
      </c>
      <c r="R45" s="35" t="n">
        <f aca="false">IF(AND(A45&gt;0,N45&gt;=0),1,0)</f>
        <v>1</v>
      </c>
      <c r="S45" s="35" t="n">
        <f aca="false">IF(AND(A45&gt;0,Q45&gt;=0),1,0)</f>
        <v>1</v>
      </c>
    </row>
    <row r="46" customFormat="false" ht="15" hidden="false" customHeight="false" outlineLevel="0" collapsed="false">
      <c r="A46" s="24" t="n">
        <v>40</v>
      </c>
      <c r="B46" s="25" t="n">
        <f aca="false">IF(A46=0,0,IF(A46&lt;=Supuestos!$C$24,Supuestos!$C$22,IF(A46&gt;=Supuestos!$E$8,$V$7,Supuestos!$C$22+($V$7-Supuestos!$C$22)*(A46-Supuestos!$C$24)/(Supuestos!$E$8-Supuestos!$C$24))))</f>
        <v>301.28</v>
      </c>
      <c r="C46" s="25" t="n">
        <f aca="false">B46*Supuestos!$E$6</f>
        <v>3012.8</v>
      </c>
      <c r="D46" s="26" t="n">
        <f aca="false">C46*Supuestos!$C$42</f>
        <v>13055.4666666667</v>
      </c>
      <c r="E46" s="26" t="n">
        <f aca="false">IF(A46=0,0,MAX(Supuestos!$C$23,ROUNDUP(C46/Supuestos!$C$18,0)))</f>
        <v>101</v>
      </c>
      <c r="F46" s="25" t="n">
        <f aca="false">MAX(0,E46-IF(A45=0,Supuestos!$C$23,E45))+Supuestos!$C$19*E46</f>
        <v>3.03</v>
      </c>
      <c r="G46" s="26" t="n">
        <f aca="false">IF(A46=0,0,MAX(1,ROUNDUP(B46/Supuestos!$C$21,0)))</f>
        <v>4</v>
      </c>
      <c r="H46" s="27" t="n">
        <f aca="false">D46*(Supuestos!$C$14+Supuestos!$E$7)</f>
        <v>1305546.66666667</v>
      </c>
      <c r="I46" s="27" t="n">
        <f aca="false">D46*Supuestos!$C$43</f>
        <v>972632.266666667</v>
      </c>
      <c r="J46" s="27" t="n">
        <f aca="false">IF(A46=0,0,Supuestos!$C$44+G46*Supuestos!$C$26)</f>
        <v>145900</v>
      </c>
      <c r="K46" s="28" t="n">
        <f aca="false">F46*Supuestos!$C$20</f>
        <v>10605</v>
      </c>
      <c r="L46" s="27" t="n">
        <f aca="false">IF(A46=0,Supuestos!$C$45,0)</f>
        <v>0</v>
      </c>
      <c r="M46" s="28" t="n">
        <f aca="false">IF(A46=0,-L46,H46-I46-J46-K46)</f>
        <v>176409.4</v>
      </c>
      <c r="N46" s="28" t="n">
        <f aca="false">N45+M46</f>
        <v>4525841.1</v>
      </c>
      <c r="O46" s="29" t="n">
        <f aca="false">1/(1+Supuestos!$C$46)^A46</f>
        <v>0.72782066577871</v>
      </c>
      <c r="P46" s="28" t="n">
        <f aca="false">M46*O46</f>
        <v>128394.406957623</v>
      </c>
      <c r="Q46" s="28" t="n">
        <f aca="false">Q45+P46</f>
        <v>3590141.23240142</v>
      </c>
      <c r="R46" s="30" t="n">
        <f aca="false">IF(AND(A46&gt;0,N46&gt;=0),1,0)</f>
        <v>1</v>
      </c>
      <c r="S46" s="30" t="n">
        <f aca="false">IF(AND(A46&gt;0,Q46&gt;=0),1,0)</f>
        <v>1</v>
      </c>
    </row>
    <row r="47" customFormat="false" ht="15" hidden="false" customHeight="false" outlineLevel="0" collapsed="false">
      <c r="A47" s="4" t="n">
        <v>41</v>
      </c>
      <c r="B47" s="31" t="n">
        <f aca="false">IF(A47=0,0,IF(A47&lt;=Supuestos!$C$24,Supuestos!$C$22,IF(A47&gt;=Supuestos!$E$8,$V$7,Supuestos!$C$22+($V$7-Supuestos!$C$22)*(A47-Supuestos!$C$24)/(Supuestos!$E$8-Supuestos!$C$24))))</f>
        <v>301.28</v>
      </c>
      <c r="C47" s="31" t="n">
        <f aca="false">B47*Supuestos!$E$6</f>
        <v>3012.8</v>
      </c>
      <c r="D47" s="32" t="n">
        <f aca="false">C47*Supuestos!$C$42</f>
        <v>13055.4666666667</v>
      </c>
      <c r="E47" s="32" t="n">
        <f aca="false">IF(A47=0,0,MAX(Supuestos!$C$23,ROUNDUP(C47/Supuestos!$C$18,0)))</f>
        <v>101</v>
      </c>
      <c r="F47" s="31" t="n">
        <f aca="false">MAX(0,E47-IF(A46=0,Supuestos!$C$23,E46))+Supuestos!$C$19*E47</f>
        <v>3.03</v>
      </c>
      <c r="G47" s="32" t="n">
        <f aca="false">IF(A47=0,0,MAX(1,ROUNDUP(B47/Supuestos!$C$21,0)))</f>
        <v>4</v>
      </c>
      <c r="H47" s="33" t="n">
        <f aca="false">D47*(Supuestos!$C$14+Supuestos!$E$7)</f>
        <v>1305546.66666667</v>
      </c>
      <c r="I47" s="33" t="n">
        <f aca="false">D47*Supuestos!$C$43</f>
        <v>972632.266666667</v>
      </c>
      <c r="J47" s="33" t="n">
        <f aca="false">IF(A47=0,0,Supuestos!$C$44+G47*Supuestos!$C$26)</f>
        <v>145900</v>
      </c>
      <c r="K47" s="21" t="n">
        <f aca="false">F47*Supuestos!$C$20</f>
        <v>10605</v>
      </c>
      <c r="L47" s="33" t="n">
        <f aca="false">IF(A47=0,Supuestos!$C$45,0)</f>
        <v>0</v>
      </c>
      <c r="M47" s="21" t="n">
        <f aca="false">IF(A47=0,-L47,H47-I47-J47-K47)</f>
        <v>176409.4</v>
      </c>
      <c r="N47" s="21" t="n">
        <f aca="false">N46+M47</f>
        <v>4702250.5</v>
      </c>
      <c r="O47" s="34" t="n">
        <f aca="false">1/(1+Supuestos!$C$46)^A47</f>
        <v>0.722062835331286</v>
      </c>
      <c r="P47" s="21" t="n">
        <f aca="false">M47*O47</f>
        <v>127378.671543091</v>
      </c>
      <c r="Q47" s="21" t="n">
        <f aca="false">Q46+P47</f>
        <v>3717519.90394451</v>
      </c>
      <c r="R47" s="35" t="n">
        <f aca="false">IF(AND(A47&gt;0,N47&gt;=0),1,0)</f>
        <v>1</v>
      </c>
      <c r="S47" s="35" t="n">
        <f aca="false">IF(AND(A47&gt;0,Q47&gt;=0),1,0)</f>
        <v>1</v>
      </c>
    </row>
    <row r="48" customFormat="false" ht="15" hidden="false" customHeight="false" outlineLevel="0" collapsed="false">
      <c r="A48" s="24" t="n">
        <v>42</v>
      </c>
      <c r="B48" s="25" t="n">
        <f aca="false">IF(A48=0,0,IF(A48&lt;=Supuestos!$C$24,Supuestos!$C$22,IF(A48&gt;=Supuestos!$E$8,$V$7,Supuestos!$C$22+($V$7-Supuestos!$C$22)*(A48-Supuestos!$C$24)/(Supuestos!$E$8-Supuestos!$C$24))))</f>
        <v>301.28</v>
      </c>
      <c r="C48" s="25" t="n">
        <f aca="false">B48*Supuestos!$E$6</f>
        <v>3012.8</v>
      </c>
      <c r="D48" s="26" t="n">
        <f aca="false">C48*Supuestos!$C$42</f>
        <v>13055.4666666667</v>
      </c>
      <c r="E48" s="26" t="n">
        <f aca="false">IF(A48=0,0,MAX(Supuestos!$C$23,ROUNDUP(C48/Supuestos!$C$18,0)))</f>
        <v>101</v>
      </c>
      <c r="F48" s="25" t="n">
        <f aca="false">MAX(0,E48-IF(A47=0,Supuestos!$C$23,E47))+Supuestos!$C$19*E48</f>
        <v>3.03</v>
      </c>
      <c r="G48" s="26" t="n">
        <f aca="false">IF(A48=0,0,MAX(1,ROUNDUP(B48/Supuestos!$C$21,0)))</f>
        <v>4</v>
      </c>
      <c r="H48" s="27" t="n">
        <f aca="false">D48*(Supuestos!$C$14+Supuestos!$E$7)</f>
        <v>1305546.66666667</v>
      </c>
      <c r="I48" s="27" t="n">
        <f aca="false">D48*Supuestos!$C$43</f>
        <v>972632.266666667</v>
      </c>
      <c r="J48" s="27" t="n">
        <f aca="false">IF(A48=0,0,Supuestos!$C$44+G48*Supuestos!$C$26)</f>
        <v>145900</v>
      </c>
      <c r="K48" s="28" t="n">
        <f aca="false">F48*Supuestos!$C$20</f>
        <v>10605</v>
      </c>
      <c r="L48" s="27" t="n">
        <f aca="false">IF(A48=0,Supuestos!$C$45,0)</f>
        <v>0</v>
      </c>
      <c r="M48" s="28" t="n">
        <f aca="false">IF(A48=0,-L48,H48-I48-J48-K48)</f>
        <v>176409.4</v>
      </c>
      <c r="N48" s="28" t="n">
        <f aca="false">N47+M48</f>
        <v>4878659.9</v>
      </c>
      <c r="O48" s="29" t="n">
        <f aca="false">1/(1+Supuestos!$C$46)^A48</f>
        <v>0.716350555406154</v>
      </c>
      <c r="P48" s="28" t="n">
        <f aca="false">M48*O48</f>
        <v>126370.971668866</v>
      </c>
      <c r="Q48" s="28" t="n">
        <f aca="false">Q47+P48</f>
        <v>3843890.87561337</v>
      </c>
      <c r="R48" s="30" t="n">
        <f aca="false">IF(AND(A48&gt;0,N48&gt;=0),1,0)</f>
        <v>1</v>
      </c>
      <c r="S48" s="30" t="n">
        <f aca="false">IF(AND(A48&gt;0,Q48&gt;=0),1,0)</f>
        <v>1</v>
      </c>
    </row>
    <row r="49" customFormat="false" ht="15" hidden="false" customHeight="false" outlineLevel="0" collapsed="false">
      <c r="A49" s="4" t="n">
        <v>43</v>
      </c>
      <c r="B49" s="31" t="n">
        <f aca="false">IF(A49=0,0,IF(A49&lt;=Supuestos!$C$24,Supuestos!$C$22,IF(A49&gt;=Supuestos!$E$8,$V$7,Supuestos!$C$22+($V$7-Supuestos!$C$22)*(A49-Supuestos!$C$24)/(Supuestos!$E$8-Supuestos!$C$24))))</f>
        <v>301.28</v>
      </c>
      <c r="C49" s="31" t="n">
        <f aca="false">B49*Supuestos!$E$6</f>
        <v>3012.8</v>
      </c>
      <c r="D49" s="32" t="n">
        <f aca="false">C49*Supuestos!$C$42</f>
        <v>13055.4666666667</v>
      </c>
      <c r="E49" s="32" t="n">
        <f aca="false">IF(A49=0,0,MAX(Supuestos!$C$23,ROUNDUP(C49/Supuestos!$C$18,0)))</f>
        <v>101</v>
      </c>
      <c r="F49" s="31" t="n">
        <f aca="false">MAX(0,E49-IF(A48=0,Supuestos!$C$23,E48))+Supuestos!$C$19*E49</f>
        <v>3.03</v>
      </c>
      <c r="G49" s="32" t="n">
        <f aca="false">IF(A49=0,0,MAX(1,ROUNDUP(B49/Supuestos!$C$21,0)))</f>
        <v>4</v>
      </c>
      <c r="H49" s="33" t="n">
        <f aca="false">D49*(Supuestos!$C$14+Supuestos!$E$7)</f>
        <v>1305546.66666667</v>
      </c>
      <c r="I49" s="33" t="n">
        <f aca="false">D49*Supuestos!$C$43</f>
        <v>972632.266666667</v>
      </c>
      <c r="J49" s="33" t="n">
        <f aca="false">IF(A49=0,0,Supuestos!$C$44+G49*Supuestos!$C$26)</f>
        <v>145900</v>
      </c>
      <c r="K49" s="21" t="n">
        <f aca="false">F49*Supuestos!$C$20</f>
        <v>10605</v>
      </c>
      <c r="L49" s="33" t="n">
        <f aca="false">IF(A49=0,Supuestos!$C$45,0)</f>
        <v>0</v>
      </c>
      <c r="M49" s="21" t="n">
        <f aca="false">IF(A49=0,-L49,H49-I49-J49-K49)</f>
        <v>176409.4</v>
      </c>
      <c r="N49" s="21" t="n">
        <f aca="false">N48+M49</f>
        <v>5055069.3</v>
      </c>
      <c r="O49" s="34" t="n">
        <f aca="false">1/(1+Supuestos!$C$46)^A49</f>
        <v>0.710683465650557</v>
      </c>
      <c r="P49" s="21" t="n">
        <f aca="false">M49*O49</f>
        <v>125371.243765335</v>
      </c>
      <c r="Q49" s="21" t="n">
        <f aca="false">Q48+P49</f>
        <v>3969262.11937871</v>
      </c>
      <c r="R49" s="35" t="n">
        <f aca="false">IF(AND(A49&gt;0,N49&gt;=0),1,0)</f>
        <v>1</v>
      </c>
      <c r="S49" s="35" t="n">
        <f aca="false">IF(AND(A49&gt;0,Q49&gt;=0),1,0)</f>
        <v>1</v>
      </c>
    </row>
    <row r="50" customFormat="false" ht="15" hidden="false" customHeight="false" outlineLevel="0" collapsed="false">
      <c r="A50" s="24" t="n">
        <v>44</v>
      </c>
      <c r="B50" s="25" t="n">
        <f aca="false">IF(A50=0,0,IF(A50&lt;=Supuestos!$C$24,Supuestos!$C$22,IF(A50&gt;=Supuestos!$E$8,$V$7,Supuestos!$C$22+($V$7-Supuestos!$C$22)*(A50-Supuestos!$C$24)/(Supuestos!$E$8-Supuestos!$C$24))))</f>
        <v>301.28</v>
      </c>
      <c r="C50" s="25" t="n">
        <f aca="false">B50*Supuestos!$E$6</f>
        <v>3012.8</v>
      </c>
      <c r="D50" s="26" t="n">
        <f aca="false">C50*Supuestos!$C$42</f>
        <v>13055.4666666667</v>
      </c>
      <c r="E50" s="26" t="n">
        <f aca="false">IF(A50=0,0,MAX(Supuestos!$C$23,ROUNDUP(C50/Supuestos!$C$18,0)))</f>
        <v>101</v>
      </c>
      <c r="F50" s="25" t="n">
        <f aca="false">MAX(0,E50-IF(A49=0,Supuestos!$C$23,E49))+Supuestos!$C$19*E50</f>
        <v>3.03</v>
      </c>
      <c r="G50" s="26" t="n">
        <f aca="false">IF(A50=0,0,MAX(1,ROUNDUP(B50/Supuestos!$C$21,0)))</f>
        <v>4</v>
      </c>
      <c r="H50" s="27" t="n">
        <f aca="false">D50*(Supuestos!$C$14+Supuestos!$E$7)</f>
        <v>1305546.66666667</v>
      </c>
      <c r="I50" s="27" t="n">
        <f aca="false">D50*Supuestos!$C$43</f>
        <v>972632.266666667</v>
      </c>
      <c r="J50" s="27" t="n">
        <f aca="false">IF(A50=0,0,Supuestos!$C$44+G50*Supuestos!$C$26)</f>
        <v>145900</v>
      </c>
      <c r="K50" s="28" t="n">
        <f aca="false">F50*Supuestos!$C$20</f>
        <v>10605</v>
      </c>
      <c r="L50" s="27" t="n">
        <f aca="false">IF(A50=0,Supuestos!$C$45,0)</f>
        <v>0</v>
      </c>
      <c r="M50" s="28" t="n">
        <f aca="false">IF(A50=0,-L50,H50-I50-J50-K50)</f>
        <v>176409.4</v>
      </c>
      <c r="N50" s="28" t="n">
        <f aca="false">N49+M50</f>
        <v>5231478.7</v>
      </c>
      <c r="O50" s="29" t="n">
        <f aca="false">1/(1+Supuestos!$C$46)^A50</f>
        <v>0.705061208562507</v>
      </c>
      <c r="P50" s="28" t="n">
        <f aca="false">M50*O50</f>
        <v>124379.424765787</v>
      </c>
      <c r="Q50" s="28" t="n">
        <f aca="false">Q49+P50</f>
        <v>4093641.5441445</v>
      </c>
      <c r="R50" s="30" t="n">
        <f aca="false">IF(AND(A50&gt;0,N50&gt;=0),1,0)</f>
        <v>1</v>
      </c>
      <c r="S50" s="30" t="n">
        <f aca="false">IF(AND(A50&gt;0,Q50&gt;=0),1,0)</f>
        <v>1</v>
      </c>
    </row>
    <row r="51" customFormat="false" ht="15" hidden="false" customHeight="false" outlineLevel="0" collapsed="false">
      <c r="A51" s="4" t="n">
        <v>45</v>
      </c>
      <c r="B51" s="31" t="n">
        <f aca="false">IF(A51=0,0,IF(A51&lt;=Supuestos!$C$24,Supuestos!$C$22,IF(A51&gt;=Supuestos!$E$8,$V$7,Supuestos!$C$22+($V$7-Supuestos!$C$22)*(A51-Supuestos!$C$24)/(Supuestos!$E$8-Supuestos!$C$24))))</f>
        <v>301.28</v>
      </c>
      <c r="C51" s="31" t="n">
        <f aca="false">B51*Supuestos!$E$6</f>
        <v>3012.8</v>
      </c>
      <c r="D51" s="32" t="n">
        <f aca="false">C51*Supuestos!$C$42</f>
        <v>13055.4666666667</v>
      </c>
      <c r="E51" s="32" t="n">
        <f aca="false">IF(A51=0,0,MAX(Supuestos!$C$23,ROUNDUP(C51/Supuestos!$C$18,0)))</f>
        <v>101</v>
      </c>
      <c r="F51" s="31" t="n">
        <f aca="false">MAX(0,E51-IF(A50=0,Supuestos!$C$23,E50))+Supuestos!$C$19*E51</f>
        <v>3.03</v>
      </c>
      <c r="G51" s="32" t="n">
        <f aca="false">IF(A51=0,0,MAX(1,ROUNDUP(B51/Supuestos!$C$21,0)))</f>
        <v>4</v>
      </c>
      <c r="H51" s="33" t="n">
        <f aca="false">D51*(Supuestos!$C$14+Supuestos!$E$7)</f>
        <v>1305546.66666667</v>
      </c>
      <c r="I51" s="33" t="n">
        <f aca="false">D51*Supuestos!$C$43</f>
        <v>972632.266666667</v>
      </c>
      <c r="J51" s="33" t="n">
        <f aca="false">IF(A51=0,0,Supuestos!$C$44+G51*Supuestos!$C$26)</f>
        <v>145900</v>
      </c>
      <c r="K51" s="21" t="n">
        <f aca="false">F51*Supuestos!$C$20</f>
        <v>10605</v>
      </c>
      <c r="L51" s="33" t="n">
        <f aca="false">IF(A51=0,Supuestos!$C$45,0)</f>
        <v>0</v>
      </c>
      <c r="M51" s="21" t="n">
        <f aca="false">IF(A51=0,-L51,H51-I51-J51-K51)</f>
        <v>176409.4</v>
      </c>
      <c r="N51" s="21" t="n">
        <f aca="false">N50+M51</f>
        <v>5407888.1</v>
      </c>
      <c r="O51" s="34" t="n">
        <f aca="false">1/(1+Supuestos!$C$46)^A51</f>
        <v>0.699483429468236</v>
      </c>
      <c r="P51" s="21" t="n">
        <f aca="false">M51*O51</f>
        <v>123395.452102434</v>
      </c>
      <c r="Q51" s="21" t="n">
        <f aca="false">Q50+P51</f>
        <v>4217036.99624693</v>
      </c>
      <c r="R51" s="35" t="n">
        <f aca="false">IF(AND(A51&gt;0,N51&gt;=0),1,0)</f>
        <v>1</v>
      </c>
      <c r="S51" s="35" t="n">
        <f aca="false">IF(AND(A51&gt;0,Q51&gt;=0),1,0)</f>
        <v>1</v>
      </c>
    </row>
    <row r="52" customFormat="false" ht="15" hidden="false" customHeight="false" outlineLevel="0" collapsed="false">
      <c r="A52" s="24" t="n">
        <v>46</v>
      </c>
      <c r="B52" s="25" t="n">
        <f aca="false">IF(A52=0,0,IF(A52&lt;=Supuestos!$C$24,Supuestos!$C$22,IF(A52&gt;=Supuestos!$E$8,$V$7,Supuestos!$C$22+($V$7-Supuestos!$C$22)*(A52-Supuestos!$C$24)/(Supuestos!$E$8-Supuestos!$C$24))))</f>
        <v>301.28</v>
      </c>
      <c r="C52" s="25" t="n">
        <f aca="false">B52*Supuestos!$E$6</f>
        <v>3012.8</v>
      </c>
      <c r="D52" s="26" t="n">
        <f aca="false">C52*Supuestos!$C$42</f>
        <v>13055.4666666667</v>
      </c>
      <c r="E52" s="26" t="n">
        <f aca="false">IF(A52=0,0,MAX(Supuestos!$C$23,ROUNDUP(C52/Supuestos!$C$18,0)))</f>
        <v>101</v>
      </c>
      <c r="F52" s="25" t="n">
        <f aca="false">MAX(0,E52-IF(A51=0,Supuestos!$C$23,E51))+Supuestos!$C$19*E52</f>
        <v>3.03</v>
      </c>
      <c r="G52" s="26" t="n">
        <f aca="false">IF(A52=0,0,MAX(1,ROUNDUP(B52/Supuestos!$C$21,0)))</f>
        <v>4</v>
      </c>
      <c r="H52" s="27" t="n">
        <f aca="false">D52*(Supuestos!$C$14+Supuestos!$E$7)</f>
        <v>1305546.66666667</v>
      </c>
      <c r="I52" s="27" t="n">
        <f aca="false">D52*Supuestos!$C$43</f>
        <v>972632.266666667</v>
      </c>
      <c r="J52" s="27" t="n">
        <f aca="false">IF(A52=0,0,Supuestos!$C$44+G52*Supuestos!$C$26)</f>
        <v>145900</v>
      </c>
      <c r="K52" s="28" t="n">
        <f aca="false">F52*Supuestos!$C$20</f>
        <v>10605</v>
      </c>
      <c r="L52" s="27" t="n">
        <f aca="false">IF(A52=0,Supuestos!$C$45,0)</f>
        <v>0</v>
      </c>
      <c r="M52" s="28" t="n">
        <f aca="false">IF(A52=0,-L52,H52-I52-J52-K52)</f>
        <v>176409.4</v>
      </c>
      <c r="N52" s="28" t="n">
        <f aca="false">N51+M52</f>
        <v>5584297.5</v>
      </c>
      <c r="O52" s="29" t="n">
        <f aca="false">1/(1+Supuestos!$C$46)^A52</f>
        <v>0.69394977649982</v>
      </c>
      <c r="P52" s="28" t="n">
        <f aca="false">M52*O52</f>
        <v>122419.263702467</v>
      </c>
      <c r="Q52" s="28" t="n">
        <f aca="false">Q51+P52</f>
        <v>4339456.2599494</v>
      </c>
      <c r="R52" s="30" t="n">
        <f aca="false">IF(AND(A52&gt;0,N52&gt;=0),1,0)</f>
        <v>1</v>
      </c>
      <c r="S52" s="30" t="n">
        <f aca="false">IF(AND(A52&gt;0,Q52&gt;=0),1,0)</f>
        <v>1</v>
      </c>
    </row>
    <row r="53" customFormat="false" ht="15" hidden="false" customHeight="false" outlineLevel="0" collapsed="false">
      <c r="A53" s="4" t="n">
        <v>47</v>
      </c>
      <c r="B53" s="31" t="n">
        <f aca="false">IF(A53=0,0,IF(A53&lt;=Supuestos!$C$24,Supuestos!$C$22,IF(A53&gt;=Supuestos!$E$8,$V$7,Supuestos!$C$22+($V$7-Supuestos!$C$22)*(A53-Supuestos!$C$24)/(Supuestos!$E$8-Supuestos!$C$24))))</f>
        <v>301.28</v>
      </c>
      <c r="C53" s="31" t="n">
        <f aca="false">B53*Supuestos!$E$6</f>
        <v>3012.8</v>
      </c>
      <c r="D53" s="32" t="n">
        <f aca="false">C53*Supuestos!$C$42</f>
        <v>13055.4666666667</v>
      </c>
      <c r="E53" s="32" t="n">
        <f aca="false">IF(A53=0,0,MAX(Supuestos!$C$23,ROUNDUP(C53/Supuestos!$C$18,0)))</f>
        <v>101</v>
      </c>
      <c r="F53" s="31" t="n">
        <f aca="false">MAX(0,E53-IF(A52=0,Supuestos!$C$23,E52))+Supuestos!$C$19*E53</f>
        <v>3.03</v>
      </c>
      <c r="G53" s="32" t="n">
        <f aca="false">IF(A53=0,0,MAX(1,ROUNDUP(B53/Supuestos!$C$21,0)))</f>
        <v>4</v>
      </c>
      <c r="H53" s="33" t="n">
        <f aca="false">D53*(Supuestos!$C$14+Supuestos!$E$7)</f>
        <v>1305546.66666667</v>
      </c>
      <c r="I53" s="33" t="n">
        <f aca="false">D53*Supuestos!$C$43</f>
        <v>972632.266666667</v>
      </c>
      <c r="J53" s="33" t="n">
        <f aca="false">IF(A53=0,0,Supuestos!$C$44+G53*Supuestos!$C$26)</f>
        <v>145900</v>
      </c>
      <c r="K53" s="21" t="n">
        <f aca="false">F53*Supuestos!$C$20</f>
        <v>10605</v>
      </c>
      <c r="L53" s="33" t="n">
        <f aca="false">IF(A53=0,Supuestos!$C$45,0)</f>
        <v>0</v>
      </c>
      <c r="M53" s="21" t="n">
        <f aca="false">IF(A53=0,-L53,H53-I53-J53-K53)</f>
        <v>176409.4</v>
      </c>
      <c r="N53" s="21" t="n">
        <f aca="false">N52+M53</f>
        <v>5760706.9</v>
      </c>
      <c r="O53" s="34" t="n">
        <f aca="false">1/(1+Supuestos!$C$46)^A53</f>
        <v>0.688459900572982</v>
      </c>
      <c r="P53" s="21" t="n">
        <f aca="false">M53*O53</f>
        <v>121450.797984139</v>
      </c>
      <c r="Q53" s="21" t="n">
        <f aca="false">Q52+P53</f>
        <v>4460907.05793353</v>
      </c>
      <c r="R53" s="35" t="n">
        <f aca="false">IF(AND(A53&gt;0,N53&gt;=0),1,0)</f>
        <v>1</v>
      </c>
      <c r="S53" s="35" t="n">
        <f aca="false">IF(AND(A53&gt;0,Q53&gt;=0),1,0)</f>
        <v>1</v>
      </c>
    </row>
    <row r="54" customFormat="false" ht="15" hidden="false" customHeight="false" outlineLevel="0" collapsed="false">
      <c r="A54" s="24" t="n">
        <v>48</v>
      </c>
      <c r="B54" s="25" t="n">
        <f aca="false">IF(A54=0,0,IF(A54&lt;=Supuestos!$C$24,Supuestos!$C$22,IF(A54&gt;=Supuestos!$E$8,$V$7,Supuestos!$C$22+($V$7-Supuestos!$C$22)*(A54-Supuestos!$C$24)/(Supuestos!$E$8-Supuestos!$C$24))))</f>
        <v>301.28</v>
      </c>
      <c r="C54" s="25" t="n">
        <f aca="false">B54*Supuestos!$E$6</f>
        <v>3012.8</v>
      </c>
      <c r="D54" s="26" t="n">
        <f aca="false">C54*Supuestos!$C$42</f>
        <v>13055.4666666667</v>
      </c>
      <c r="E54" s="26" t="n">
        <f aca="false">IF(A54=0,0,MAX(Supuestos!$C$23,ROUNDUP(C54/Supuestos!$C$18,0)))</f>
        <v>101</v>
      </c>
      <c r="F54" s="25" t="n">
        <f aca="false">MAX(0,E54-IF(A53=0,Supuestos!$C$23,E53))+Supuestos!$C$19*E54</f>
        <v>3.03</v>
      </c>
      <c r="G54" s="26" t="n">
        <f aca="false">IF(A54=0,0,MAX(1,ROUNDUP(B54/Supuestos!$C$21,0)))</f>
        <v>4</v>
      </c>
      <c r="H54" s="27" t="n">
        <f aca="false">D54*(Supuestos!$C$14+Supuestos!$E$7)</f>
        <v>1305546.66666667</v>
      </c>
      <c r="I54" s="27" t="n">
        <f aca="false">D54*Supuestos!$C$43</f>
        <v>972632.266666667</v>
      </c>
      <c r="J54" s="27" t="n">
        <f aca="false">IF(A54=0,0,Supuestos!$C$44+G54*Supuestos!$C$26)</f>
        <v>145900</v>
      </c>
      <c r="K54" s="28" t="n">
        <f aca="false">F54*Supuestos!$C$20</f>
        <v>10605</v>
      </c>
      <c r="L54" s="27" t="n">
        <f aca="false">IF(A54=0,Supuestos!$C$45,0)</f>
        <v>0</v>
      </c>
      <c r="M54" s="28" t="n">
        <f aca="false">IF(A54=0,-L54,H54-I54-J54-K54)</f>
        <v>176409.4</v>
      </c>
      <c r="N54" s="28" t="n">
        <f aca="false">N53+M54</f>
        <v>5937116.3</v>
      </c>
      <c r="O54" s="29" t="n">
        <f aca="false">1/(1+Supuestos!$C$46)^A54</f>
        <v>0.68301345536507</v>
      </c>
      <c r="P54" s="28" t="n">
        <f aca="false">M54*O54</f>
        <v>120489.993852879</v>
      </c>
      <c r="Q54" s="28" t="n">
        <f aca="false">Q53+P54</f>
        <v>4581397.05178641</v>
      </c>
      <c r="R54" s="30" t="n">
        <f aca="false">IF(AND(A54&gt;0,N54&gt;=0),1,0)</f>
        <v>1</v>
      </c>
      <c r="S54" s="30" t="n">
        <f aca="false">IF(AND(A54&gt;0,Q54&gt;=0),1,0)</f>
        <v>1</v>
      </c>
    </row>
    <row r="55" customFormat="false" ht="15" hidden="false" customHeight="false" outlineLevel="0" collapsed="false">
      <c r="A55" s="4" t="n">
        <v>49</v>
      </c>
      <c r="B55" s="31" t="n">
        <f aca="false">IF(A55=0,0,IF(A55&lt;=Supuestos!$C$24,Supuestos!$C$22,IF(A55&gt;=Supuestos!$E$8,$V$7,Supuestos!$C$22+($V$7-Supuestos!$C$22)*(A55-Supuestos!$C$24)/(Supuestos!$E$8-Supuestos!$C$24))))</f>
        <v>301.28</v>
      </c>
      <c r="C55" s="31" t="n">
        <f aca="false">B55*Supuestos!$E$6</f>
        <v>3012.8</v>
      </c>
      <c r="D55" s="32" t="n">
        <f aca="false">C55*Supuestos!$C$42</f>
        <v>13055.4666666667</v>
      </c>
      <c r="E55" s="32" t="n">
        <f aca="false">IF(A55=0,0,MAX(Supuestos!$C$23,ROUNDUP(C55/Supuestos!$C$18,0)))</f>
        <v>101</v>
      </c>
      <c r="F55" s="31" t="n">
        <f aca="false">MAX(0,E55-IF(A54=0,Supuestos!$C$23,E54))+Supuestos!$C$19*E55</f>
        <v>3.03</v>
      </c>
      <c r="G55" s="32" t="n">
        <f aca="false">IF(A55=0,0,MAX(1,ROUNDUP(B55/Supuestos!$C$21,0)))</f>
        <v>4</v>
      </c>
      <c r="H55" s="33" t="n">
        <f aca="false">D55*(Supuestos!$C$14+Supuestos!$E$7)</f>
        <v>1305546.66666667</v>
      </c>
      <c r="I55" s="33" t="n">
        <f aca="false">D55*Supuestos!$C$43</f>
        <v>972632.266666667</v>
      </c>
      <c r="J55" s="33" t="n">
        <f aca="false">IF(A55=0,0,Supuestos!$C$44+G55*Supuestos!$C$26)</f>
        <v>145900</v>
      </c>
      <c r="K55" s="21" t="n">
        <f aca="false">F55*Supuestos!$C$20</f>
        <v>10605</v>
      </c>
      <c r="L55" s="33" t="n">
        <f aca="false">IF(A55=0,Supuestos!$C$45,0)</f>
        <v>0</v>
      </c>
      <c r="M55" s="21" t="n">
        <f aca="false">IF(A55=0,-L55,H55-I55-J55-K55)</f>
        <v>176409.4</v>
      </c>
      <c r="N55" s="21" t="n">
        <f aca="false">N54+M55</f>
        <v>6113525.7</v>
      </c>
      <c r="O55" s="34" t="n">
        <f aca="false">1/(1+Supuestos!$C$46)^A55</f>
        <v>0.677610097293211</v>
      </c>
      <c r="P55" s="21" t="n">
        <f aca="false">M55*O55</f>
        <v>119536.790697437</v>
      </c>
      <c r="Q55" s="21" t="n">
        <f aca="false">Q54+P55</f>
        <v>4700933.84248385</v>
      </c>
      <c r="R55" s="35" t="n">
        <f aca="false">IF(AND(A55&gt;0,N55&gt;=0),1,0)</f>
        <v>1</v>
      </c>
      <c r="S55" s="35" t="n">
        <f aca="false">IF(AND(A55&gt;0,Q55&gt;=0),1,0)</f>
        <v>1</v>
      </c>
    </row>
    <row r="56" customFormat="false" ht="15" hidden="false" customHeight="false" outlineLevel="0" collapsed="false">
      <c r="A56" s="24" t="n">
        <v>50</v>
      </c>
      <c r="B56" s="25" t="n">
        <f aca="false">IF(A56=0,0,IF(A56&lt;=Supuestos!$C$24,Supuestos!$C$22,IF(A56&gt;=Supuestos!$E$8,$V$7,Supuestos!$C$22+($V$7-Supuestos!$C$22)*(A56-Supuestos!$C$24)/(Supuestos!$E$8-Supuestos!$C$24))))</f>
        <v>301.28</v>
      </c>
      <c r="C56" s="25" t="n">
        <f aca="false">B56*Supuestos!$E$6</f>
        <v>3012.8</v>
      </c>
      <c r="D56" s="26" t="n">
        <f aca="false">C56*Supuestos!$C$42</f>
        <v>13055.4666666667</v>
      </c>
      <c r="E56" s="26" t="n">
        <f aca="false">IF(A56=0,0,MAX(Supuestos!$C$23,ROUNDUP(C56/Supuestos!$C$18,0)))</f>
        <v>101</v>
      </c>
      <c r="F56" s="25" t="n">
        <f aca="false">MAX(0,E56-IF(A55=0,Supuestos!$C$23,E55))+Supuestos!$C$19*E56</f>
        <v>3.03</v>
      </c>
      <c r="G56" s="26" t="n">
        <f aca="false">IF(A56=0,0,MAX(1,ROUNDUP(B56/Supuestos!$C$21,0)))</f>
        <v>4</v>
      </c>
      <c r="H56" s="27" t="n">
        <f aca="false">D56*(Supuestos!$C$14+Supuestos!$E$7)</f>
        <v>1305546.66666667</v>
      </c>
      <c r="I56" s="27" t="n">
        <f aca="false">D56*Supuestos!$C$43</f>
        <v>972632.266666667</v>
      </c>
      <c r="J56" s="27" t="n">
        <f aca="false">IF(A56=0,0,Supuestos!$C$44+G56*Supuestos!$C$26)</f>
        <v>145900</v>
      </c>
      <c r="K56" s="28" t="n">
        <f aca="false">F56*Supuestos!$C$20</f>
        <v>10605</v>
      </c>
      <c r="L56" s="27" t="n">
        <f aca="false">IF(A56=0,Supuestos!$C$45,0)</f>
        <v>0</v>
      </c>
      <c r="M56" s="28" t="n">
        <f aca="false">IF(A56=0,-L56,H56-I56-J56-K56)</f>
        <v>176409.4</v>
      </c>
      <c r="N56" s="28" t="n">
        <f aca="false">N55+M56</f>
        <v>6289935.1</v>
      </c>
      <c r="O56" s="29" t="n">
        <f aca="false">1/(1+Supuestos!$C$46)^A56</f>
        <v>0.672249485492634</v>
      </c>
      <c r="P56" s="28" t="n">
        <f aca="false">M56*O56</f>
        <v>118591.128386064</v>
      </c>
      <c r="Q56" s="28" t="n">
        <f aca="false">Q55+P56</f>
        <v>4819524.97086992</v>
      </c>
      <c r="R56" s="30" t="n">
        <f aca="false">IF(AND(A56&gt;0,N56&gt;=0),1,0)</f>
        <v>1</v>
      </c>
      <c r="S56" s="30" t="n">
        <f aca="false">IF(AND(A56&gt;0,Q56&gt;=0),1,0)</f>
        <v>1</v>
      </c>
    </row>
    <row r="57" customFormat="false" ht="15" hidden="false" customHeight="false" outlineLevel="0" collapsed="false">
      <c r="A57" s="4" t="n">
        <v>51</v>
      </c>
      <c r="B57" s="31" t="n">
        <f aca="false">IF(A57=0,0,IF(A57&lt;=Supuestos!$C$24,Supuestos!$C$22,IF(A57&gt;=Supuestos!$E$8,$V$7,Supuestos!$C$22+($V$7-Supuestos!$C$22)*(A57-Supuestos!$C$24)/(Supuestos!$E$8-Supuestos!$C$24))))</f>
        <v>301.28</v>
      </c>
      <c r="C57" s="31" t="n">
        <f aca="false">B57*Supuestos!$E$6</f>
        <v>3012.8</v>
      </c>
      <c r="D57" s="32" t="n">
        <f aca="false">C57*Supuestos!$C$42</f>
        <v>13055.4666666667</v>
      </c>
      <c r="E57" s="32" t="n">
        <f aca="false">IF(A57=0,0,MAX(Supuestos!$C$23,ROUNDUP(C57/Supuestos!$C$18,0)))</f>
        <v>101</v>
      </c>
      <c r="F57" s="31" t="n">
        <f aca="false">MAX(0,E57-IF(A56=0,Supuestos!$C$23,E56))+Supuestos!$C$19*E57</f>
        <v>3.03</v>
      </c>
      <c r="G57" s="32" t="n">
        <f aca="false">IF(A57=0,0,MAX(1,ROUNDUP(B57/Supuestos!$C$21,0)))</f>
        <v>4</v>
      </c>
      <c r="H57" s="33" t="n">
        <f aca="false">D57*(Supuestos!$C$14+Supuestos!$E$7)</f>
        <v>1305546.66666667</v>
      </c>
      <c r="I57" s="33" t="n">
        <f aca="false">D57*Supuestos!$C$43</f>
        <v>972632.266666667</v>
      </c>
      <c r="J57" s="33" t="n">
        <f aca="false">IF(A57=0,0,Supuestos!$C$44+G57*Supuestos!$C$26)</f>
        <v>145900</v>
      </c>
      <c r="K57" s="21" t="n">
        <f aca="false">F57*Supuestos!$C$20</f>
        <v>10605</v>
      </c>
      <c r="L57" s="33" t="n">
        <f aca="false">IF(A57=0,Supuestos!$C$45,0)</f>
        <v>0</v>
      </c>
      <c r="M57" s="21" t="n">
        <f aca="false">IF(A57=0,-L57,H57-I57-J57-K57)</f>
        <v>176409.4</v>
      </c>
      <c r="N57" s="21" t="n">
        <f aca="false">N56+M57</f>
        <v>6466344.5</v>
      </c>
      <c r="O57" s="34" t="n">
        <f aca="false">1/(1+Supuestos!$C$46)^A57</f>
        <v>0.666931281795171</v>
      </c>
      <c r="P57" s="21" t="n">
        <f aca="false">M57*O57</f>
        <v>117652.947262717</v>
      </c>
      <c r="Q57" s="21" t="n">
        <f aca="false">Q56+P57</f>
        <v>4937177.91813263</v>
      </c>
      <c r="R57" s="35" t="n">
        <f aca="false">IF(AND(A57&gt;0,N57&gt;=0),1,0)</f>
        <v>1</v>
      </c>
      <c r="S57" s="35" t="n">
        <f aca="false">IF(AND(A57&gt;0,Q57&gt;=0),1,0)</f>
        <v>1</v>
      </c>
    </row>
    <row r="58" customFormat="false" ht="15" hidden="false" customHeight="false" outlineLevel="0" collapsed="false">
      <c r="A58" s="24" t="n">
        <v>52</v>
      </c>
      <c r="B58" s="25" t="n">
        <f aca="false">IF(A58=0,0,IF(A58&lt;=Supuestos!$C$24,Supuestos!$C$22,IF(A58&gt;=Supuestos!$E$8,$V$7,Supuestos!$C$22+($V$7-Supuestos!$C$22)*(A58-Supuestos!$C$24)/(Supuestos!$E$8-Supuestos!$C$24))))</f>
        <v>301.28</v>
      </c>
      <c r="C58" s="25" t="n">
        <f aca="false">B58*Supuestos!$E$6</f>
        <v>3012.8</v>
      </c>
      <c r="D58" s="26" t="n">
        <f aca="false">C58*Supuestos!$C$42</f>
        <v>13055.4666666667</v>
      </c>
      <c r="E58" s="26" t="n">
        <f aca="false">IF(A58=0,0,MAX(Supuestos!$C$23,ROUNDUP(C58/Supuestos!$C$18,0)))</f>
        <v>101</v>
      </c>
      <c r="F58" s="25" t="n">
        <f aca="false">MAX(0,E58-IF(A57=0,Supuestos!$C$23,E57))+Supuestos!$C$19*E58</f>
        <v>3.03</v>
      </c>
      <c r="G58" s="26" t="n">
        <f aca="false">IF(A58=0,0,MAX(1,ROUNDUP(B58/Supuestos!$C$21,0)))</f>
        <v>4</v>
      </c>
      <c r="H58" s="27" t="n">
        <f aca="false">D58*(Supuestos!$C$14+Supuestos!$E$7)</f>
        <v>1305546.66666667</v>
      </c>
      <c r="I58" s="27" t="n">
        <f aca="false">D58*Supuestos!$C$43</f>
        <v>972632.266666667</v>
      </c>
      <c r="J58" s="27" t="n">
        <f aca="false">IF(A58=0,0,Supuestos!$C$44+G58*Supuestos!$C$26)</f>
        <v>145900</v>
      </c>
      <c r="K58" s="28" t="n">
        <f aca="false">F58*Supuestos!$C$20</f>
        <v>10605</v>
      </c>
      <c r="L58" s="27" t="n">
        <f aca="false">IF(A58=0,Supuestos!$C$45,0)</f>
        <v>0</v>
      </c>
      <c r="M58" s="28" t="n">
        <f aca="false">IF(A58=0,-L58,H58-I58-J58-K58)</f>
        <v>176409.4</v>
      </c>
      <c r="N58" s="28" t="n">
        <f aca="false">N57+M58</f>
        <v>6642753.9</v>
      </c>
      <c r="O58" s="29" t="n">
        <f aca="false">1/(1+Supuestos!$C$46)^A58</f>
        <v>0.661655150707918</v>
      </c>
      <c r="P58" s="28" t="n">
        <f aca="false">M58*O58</f>
        <v>116722.188143293</v>
      </c>
      <c r="Q58" s="28" t="n">
        <f aca="false">Q57+P58</f>
        <v>5053900.10627593</v>
      </c>
      <c r="R58" s="30" t="n">
        <f aca="false">IF(AND(A58&gt;0,N58&gt;=0),1,0)</f>
        <v>1</v>
      </c>
      <c r="S58" s="30" t="n">
        <f aca="false">IF(AND(A58&gt;0,Q58&gt;=0),1,0)</f>
        <v>1</v>
      </c>
    </row>
    <row r="59" customFormat="false" ht="15" hidden="false" customHeight="false" outlineLevel="0" collapsed="false">
      <c r="A59" s="4" t="n">
        <v>53</v>
      </c>
      <c r="B59" s="31" t="n">
        <f aca="false">IF(A59=0,0,IF(A59&lt;=Supuestos!$C$24,Supuestos!$C$22,IF(A59&gt;=Supuestos!$E$8,$V$7,Supuestos!$C$22+($V$7-Supuestos!$C$22)*(A59-Supuestos!$C$24)/(Supuestos!$E$8-Supuestos!$C$24))))</f>
        <v>301.28</v>
      </c>
      <c r="C59" s="31" t="n">
        <f aca="false">B59*Supuestos!$E$6</f>
        <v>3012.8</v>
      </c>
      <c r="D59" s="32" t="n">
        <f aca="false">C59*Supuestos!$C$42</f>
        <v>13055.4666666667</v>
      </c>
      <c r="E59" s="32" t="n">
        <f aca="false">IF(A59=0,0,MAX(Supuestos!$C$23,ROUNDUP(C59/Supuestos!$C$18,0)))</f>
        <v>101</v>
      </c>
      <c r="F59" s="31" t="n">
        <f aca="false">MAX(0,E59-IF(A58=0,Supuestos!$C$23,E58))+Supuestos!$C$19*E59</f>
        <v>3.03</v>
      </c>
      <c r="G59" s="32" t="n">
        <f aca="false">IF(A59=0,0,MAX(1,ROUNDUP(B59/Supuestos!$C$21,0)))</f>
        <v>4</v>
      </c>
      <c r="H59" s="33" t="n">
        <f aca="false">D59*(Supuestos!$C$14+Supuestos!$E$7)</f>
        <v>1305546.66666667</v>
      </c>
      <c r="I59" s="33" t="n">
        <f aca="false">D59*Supuestos!$C$43</f>
        <v>972632.266666667</v>
      </c>
      <c r="J59" s="33" t="n">
        <f aca="false">IF(A59=0,0,Supuestos!$C$44+G59*Supuestos!$C$26)</f>
        <v>145900</v>
      </c>
      <c r="K59" s="21" t="n">
        <f aca="false">F59*Supuestos!$C$20</f>
        <v>10605</v>
      </c>
      <c r="L59" s="33" t="n">
        <f aca="false">IF(A59=0,Supuestos!$C$45,0)</f>
        <v>0</v>
      </c>
      <c r="M59" s="21" t="n">
        <f aca="false">IF(A59=0,-L59,H59-I59-J59-K59)</f>
        <v>176409.4</v>
      </c>
      <c r="N59" s="21" t="n">
        <f aca="false">N58+M59</f>
        <v>6819163.3</v>
      </c>
      <c r="O59" s="34" t="n">
        <f aca="false">1/(1+Supuestos!$C$46)^A59</f>
        <v>0.656420759392078</v>
      </c>
      <c r="P59" s="21" t="n">
        <f aca="false">M59*O59</f>
        <v>115798.792311901</v>
      </c>
      <c r="Q59" s="21" t="n">
        <f aca="false">Q58+P59</f>
        <v>5169698.89858783</v>
      </c>
      <c r="R59" s="35" t="n">
        <f aca="false">IF(AND(A59&gt;0,N59&gt;=0),1,0)</f>
        <v>1</v>
      </c>
      <c r="S59" s="35" t="n">
        <f aca="false">IF(AND(A59&gt;0,Q59&gt;=0),1,0)</f>
        <v>1</v>
      </c>
    </row>
    <row r="60" customFormat="false" ht="15" hidden="false" customHeight="false" outlineLevel="0" collapsed="false">
      <c r="A60" s="24" t="n">
        <v>54</v>
      </c>
      <c r="B60" s="25" t="n">
        <f aca="false">IF(A60=0,0,IF(A60&lt;=Supuestos!$C$24,Supuestos!$C$22,IF(A60&gt;=Supuestos!$E$8,$V$7,Supuestos!$C$22+($V$7-Supuestos!$C$22)*(A60-Supuestos!$C$24)/(Supuestos!$E$8-Supuestos!$C$24))))</f>
        <v>301.28</v>
      </c>
      <c r="C60" s="25" t="n">
        <f aca="false">B60*Supuestos!$E$6</f>
        <v>3012.8</v>
      </c>
      <c r="D60" s="26" t="n">
        <f aca="false">C60*Supuestos!$C$42</f>
        <v>13055.4666666667</v>
      </c>
      <c r="E60" s="26" t="n">
        <f aca="false">IF(A60=0,0,MAX(Supuestos!$C$23,ROUNDUP(C60/Supuestos!$C$18,0)))</f>
        <v>101</v>
      </c>
      <c r="F60" s="25" t="n">
        <f aca="false">MAX(0,E60-IF(A59=0,Supuestos!$C$23,E59))+Supuestos!$C$19*E60</f>
        <v>3.03</v>
      </c>
      <c r="G60" s="26" t="n">
        <f aca="false">IF(A60=0,0,MAX(1,ROUNDUP(B60/Supuestos!$C$21,0)))</f>
        <v>4</v>
      </c>
      <c r="H60" s="27" t="n">
        <f aca="false">D60*(Supuestos!$C$14+Supuestos!$E$7)</f>
        <v>1305546.66666667</v>
      </c>
      <c r="I60" s="27" t="n">
        <f aca="false">D60*Supuestos!$C$43</f>
        <v>972632.266666667</v>
      </c>
      <c r="J60" s="27" t="n">
        <f aca="false">IF(A60=0,0,Supuestos!$C$44+G60*Supuestos!$C$26)</f>
        <v>145900</v>
      </c>
      <c r="K60" s="28" t="n">
        <f aca="false">F60*Supuestos!$C$20</f>
        <v>10605</v>
      </c>
      <c r="L60" s="27" t="n">
        <f aca="false">IF(A60=0,Supuestos!$C$45,0)</f>
        <v>0</v>
      </c>
      <c r="M60" s="28" t="n">
        <f aca="false">IF(A60=0,-L60,H60-I60-J60-K60)</f>
        <v>176409.4</v>
      </c>
      <c r="N60" s="28" t="n">
        <f aca="false">N59+M60</f>
        <v>6995572.70000001</v>
      </c>
      <c r="O60" s="29" t="n">
        <f aca="false">1/(1+Supuestos!$C$46)^A60</f>
        <v>0.651227777641958</v>
      </c>
      <c r="P60" s="28" t="n">
        <f aca="false">M60*O60</f>
        <v>114882.701517151</v>
      </c>
      <c r="Q60" s="28" t="n">
        <f aca="false">Q59+P60</f>
        <v>5284581.60010498</v>
      </c>
      <c r="R60" s="30" t="n">
        <f aca="false">IF(AND(A60&gt;0,N60&gt;=0),1,0)</f>
        <v>1</v>
      </c>
      <c r="S60" s="30" t="n">
        <f aca="false">IF(AND(A60&gt;0,Q60&gt;=0),1,0)</f>
        <v>1</v>
      </c>
    </row>
    <row r="61" customFormat="false" ht="15" hidden="false" customHeight="false" outlineLevel="0" collapsed="false">
      <c r="A61" s="4" t="n">
        <v>55</v>
      </c>
      <c r="B61" s="31" t="n">
        <f aca="false">IF(A61=0,0,IF(A61&lt;=Supuestos!$C$24,Supuestos!$C$22,IF(A61&gt;=Supuestos!$E$8,$V$7,Supuestos!$C$22+($V$7-Supuestos!$C$22)*(A61-Supuestos!$C$24)/(Supuestos!$E$8-Supuestos!$C$24))))</f>
        <v>301.28</v>
      </c>
      <c r="C61" s="31" t="n">
        <f aca="false">B61*Supuestos!$E$6</f>
        <v>3012.8</v>
      </c>
      <c r="D61" s="32" t="n">
        <f aca="false">C61*Supuestos!$C$42</f>
        <v>13055.4666666667</v>
      </c>
      <c r="E61" s="32" t="n">
        <f aca="false">IF(A61=0,0,MAX(Supuestos!$C$23,ROUNDUP(C61/Supuestos!$C$18,0)))</f>
        <v>101</v>
      </c>
      <c r="F61" s="31" t="n">
        <f aca="false">MAX(0,E61-IF(A60=0,Supuestos!$C$23,E60))+Supuestos!$C$19*E61</f>
        <v>3.03</v>
      </c>
      <c r="G61" s="32" t="n">
        <f aca="false">IF(A61=0,0,MAX(1,ROUNDUP(B61/Supuestos!$C$21,0)))</f>
        <v>4</v>
      </c>
      <c r="H61" s="33" t="n">
        <f aca="false">D61*(Supuestos!$C$14+Supuestos!$E$7)</f>
        <v>1305546.66666667</v>
      </c>
      <c r="I61" s="33" t="n">
        <f aca="false">D61*Supuestos!$C$43</f>
        <v>972632.266666667</v>
      </c>
      <c r="J61" s="33" t="n">
        <f aca="false">IF(A61=0,0,Supuestos!$C$44+G61*Supuestos!$C$26)</f>
        <v>145900</v>
      </c>
      <c r="K61" s="21" t="n">
        <f aca="false">F61*Supuestos!$C$20</f>
        <v>10605</v>
      </c>
      <c r="L61" s="33" t="n">
        <f aca="false">IF(A61=0,Supuestos!$C$45,0)</f>
        <v>0</v>
      </c>
      <c r="M61" s="21" t="n">
        <f aca="false">IF(A61=0,-L61,H61-I61-J61-K61)</f>
        <v>176409.4</v>
      </c>
      <c r="N61" s="21" t="n">
        <f aca="false">N60+M61</f>
        <v>7171982.10000001</v>
      </c>
      <c r="O61" s="34" t="n">
        <f aca="false">1/(1+Supuestos!$C$46)^A61</f>
        <v>0.646075877864142</v>
      </c>
      <c r="P61" s="21" t="n">
        <f aca="false">M61*O61</f>
        <v>113973.857968487</v>
      </c>
      <c r="Q61" s="21" t="n">
        <f aca="false">Q60+P61</f>
        <v>5398555.45807347</v>
      </c>
      <c r="R61" s="35" t="n">
        <f aca="false">IF(AND(A61&gt;0,N61&gt;=0),1,0)</f>
        <v>1</v>
      </c>
      <c r="S61" s="35" t="n">
        <f aca="false">IF(AND(A61&gt;0,Q61&gt;=0),1,0)</f>
        <v>1</v>
      </c>
    </row>
    <row r="62" customFormat="false" ht="15" hidden="false" customHeight="false" outlineLevel="0" collapsed="false">
      <c r="A62" s="24" t="n">
        <v>56</v>
      </c>
      <c r="B62" s="25" t="n">
        <f aca="false">IF(A62=0,0,IF(A62&lt;=Supuestos!$C$24,Supuestos!$C$22,IF(A62&gt;=Supuestos!$E$8,$V$7,Supuestos!$C$22+($V$7-Supuestos!$C$22)*(A62-Supuestos!$C$24)/(Supuestos!$E$8-Supuestos!$C$24))))</f>
        <v>301.28</v>
      </c>
      <c r="C62" s="25" t="n">
        <f aca="false">B62*Supuestos!$E$6</f>
        <v>3012.8</v>
      </c>
      <c r="D62" s="26" t="n">
        <f aca="false">C62*Supuestos!$C$42</f>
        <v>13055.4666666667</v>
      </c>
      <c r="E62" s="26" t="n">
        <f aca="false">IF(A62=0,0,MAX(Supuestos!$C$23,ROUNDUP(C62/Supuestos!$C$18,0)))</f>
        <v>101</v>
      </c>
      <c r="F62" s="25" t="n">
        <f aca="false">MAX(0,E62-IF(A61=0,Supuestos!$C$23,E61))+Supuestos!$C$19*E62</f>
        <v>3.03</v>
      </c>
      <c r="G62" s="26" t="n">
        <f aca="false">IF(A62=0,0,MAX(1,ROUNDUP(B62/Supuestos!$C$21,0)))</f>
        <v>4</v>
      </c>
      <c r="H62" s="27" t="n">
        <f aca="false">D62*(Supuestos!$C$14+Supuestos!$E$7)</f>
        <v>1305546.66666667</v>
      </c>
      <c r="I62" s="27" t="n">
        <f aca="false">D62*Supuestos!$C$43</f>
        <v>972632.266666667</v>
      </c>
      <c r="J62" s="27" t="n">
        <f aca="false">IF(A62=0,0,Supuestos!$C$44+G62*Supuestos!$C$26)</f>
        <v>145900</v>
      </c>
      <c r="K62" s="28" t="n">
        <f aca="false">F62*Supuestos!$C$20</f>
        <v>10605</v>
      </c>
      <c r="L62" s="27" t="n">
        <f aca="false">IF(A62=0,Supuestos!$C$45,0)</f>
        <v>0</v>
      </c>
      <c r="M62" s="28" t="n">
        <f aca="false">IF(A62=0,-L62,H62-I62-J62-K62)</f>
        <v>176409.4</v>
      </c>
      <c r="N62" s="28" t="n">
        <f aca="false">N61+M62</f>
        <v>7348391.50000001</v>
      </c>
      <c r="O62" s="29" t="n">
        <f aca="false">1/(1+Supuestos!$C$46)^A62</f>
        <v>0.640964735056824</v>
      </c>
      <c r="P62" s="28" t="n">
        <f aca="false">M62*O62</f>
        <v>113072.204332533</v>
      </c>
      <c r="Q62" s="28" t="n">
        <f aca="false">Q61+P62</f>
        <v>5511627.662406</v>
      </c>
      <c r="R62" s="30" t="n">
        <f aca="false">IF(AND(A62&gt;0,N62&gt;=0),1,0)</f>
        <v>1</v>
      </c>
      <c r="S62" s="30" t="n">
        <f aca="false">IF(AND(A62&gt;0,Q62&gt;=0),1,0)</f>
        <v>1</v>
      </c>
    </row>
    <row r="63" customFormat="false" ht="15" hidden="false" customHeight="false" outlineLevel="0" collapsed="false">
      <c r="A63" s="4" t="n">
        <v>57</v>
      </c>
      <c r="B63" s="31" t="n">
        <f aca="false">IF(A63=0,0,IF(A63&lt;=Supuestos!$C$24,Supuestos!$C$22,IF(A63&gt;=Supuestos!$E$8,$V$7,Supuestos!$C$22+($V$7-Supuestos!$C$22)*(A63-Supuestos!$C$24)/(Supuestos!$E$8-Supuestos!$C$24))))</f>
        <v>301.28</v>
      </c>
      <c r="C63" s="31" t="n">
        <f aca="false">B63*Supuestos!$E$6</f>
        <v>3012.8</v>
      </c>
      <c r="D63" s="32" t="n">
        <f aca="false">C63*Supuestos!$C$42</f>
        <v>13055.4666666667</v>
      </c>
      <c r="E63" s="32" t="n">
        <f aca="false">IF(A63=0,0,MAX(Supuestos!$C$23,ROUNDUP(C63/Supuestos!$C$18,0)))</f>
        <v>101</v>
      </c>
      <c r="F63" s="31" t="n">
        <f aca="false">MAX(0,E63-IF(A62=0,Supuestos!$C$23,E62))+Supuestos!$C$19*E63</f>
        <v>3.03</v>
      </c>
      <c r="G63" s="32" t="n">
        <f aca="false">IF(A63=0,0,MAX(1,ROUNDUP(B63/Supuestos!$C$21,0)))</f>
        <v>4</v>
      </c>
      <c r="H63" s="33" t="n">
        <f aca="false">D63*(Supuestos!$C$14+Supuestos!$E$7)</f>
        <v>1305546.66666667</v>
      </c>
      <c r="I63" s="33" t="n">
        <f aca="false">D63*Supuestos!$C$43</f>
        <v>972632.266666667</v>
      </c>
      <c r="J63" s="33" t="n">
        <f aca="false">IF(A63=0,0,Supuestos!$C$44+G63*Supuestos!$C$26)</f>
        <v>145900</v>
      </c>
      <c r="K63" s="21" t="n">
        <f aca="false">F63*Supuestos!$C$20</f>
        <v>10605</v>
      </c>
      <c r="L63" s="33" t="n">
        <f aca="false">IF(A63=0,Supuestos!$C$45,0)</f>
        <v>0</v>
      </c>
      <c r="M63" s="21" t="n">
        <f aca="false">IF(A63=0,-L63,H63-I63-J63-K63)</f>
        <v>176409.4</v>
      </c>
      <c r="N63" s="21" t="n">
        <f aca="false">N62+M63</f>
        <v>7524800.90000001</v>
      </c>
      <c r="O63" s="34" t="n">
        <f aca="false">1/(1+Supuestos!$C$46)^A63</f>
        <v>0.635894026789305</v>
      </c>
      <c r="P63" s="21" t="n">
        <f aca="false">M63*O63</f>
        <v>112177.683729485</v>
      </c>
      <c r="Q63" s="21" t="n">
        <f aca="false">Q62+P63</f>
        <v>5623805.34613548</v>
      </c>
      <c r="R63" s="35" t="n">
        <f aca="false">IF(AND(A63&gt;0,N63&gt;=0),1,0)</f>
        <v>1</v>
      </c>
      <c r="S63" s="35" t="n">
        <f aca="false">IF(AND(A63&gt;0,Q63&gt;=0),1,0)</f>
        <v>1</v>
      </c>
    </row>
    <row r="64" customFormat="false" ht="15" hidden="false" customHeight="false" outlineLevel="0" collapsed="false">
      <c r="A64" s="24" t="n">
        <v>58</v>
      </c>
      <c r="B64" s="25" t="n">
        <f aca="false">IF(A64=0,0,IF(A64&lt;=Supuestos!$C$24,Supuestos!$C$22,IF(A64&gt;=Supuestos!$E$8,$V$7,Supuestos!$C$22+($V$7-Supuestos!$C$22)*(A64-Supuestos!$C$24)/(Supuestos!$E$8-Supuestos!$C$24))))</f>
        <v>301.28</v>
      </c>
      <c r="C64" s="25" t="n">
        <f aca="false">B64*Supuestos!$E$6</f>
        <v>3012.8</v>
      </c>
      <c r="D64" s="26" t="n">
        <f aca="false">C64*Supuestos!$C$42</f>
        <v>13055.4666666667</v>
      </c>
      <c r="E64" s="26" t="n">
        <f aca="false">IF(A64=0,0,MAX(Supuestos!$C$23,ROUNDUP(C64/Supuestos!$C$18,0)))</f>
        <v>101</v>
      </c>
      <c r="F64" s="25" t="n">
        <f aca="false">MAX(0,E64-IF(A63=0,Supuestos!$C$23,E63))+Supuestos!$C$19*E64</f>
        <v>3.03</v>
      </c>
      <c r="G64" s="26" t="n">
        <f aca="false">IF(A64=0,0,MAX(1,ROUNDUP(B64/Supuestos!$C$21,0)))</f>
        <v>4</v>
      </c>
      <c r="H64" s="27" t="n">
        <f aca="false">D64*(Supuestos!$C$14+Supuestos!$E$7)</f>
        <v>1305546.66666667</v>
      </c>
      <c r="I64" s="27" t="n">
        <f aca="false">D64*Supuestos!$C$43</f>
        <v>972632.266666667</v>
      </c>
      <c r="J64" s="27" t="n">
        <f aca="false">IF(A64=0,0,Supuestos!$C$44+G64*Supuestos!$C$26)</f>
        <v>145900</v>
      </c>
      <c r="K64" s="28" t="n">
        <f aca="false">F64*Supuestos!$C$20</f>
        <v>10605</v>
      </c>
      <c r="L64" s="27" t="n">
        <f aca="false">IF(A64=0,Supuestos!$C$45,0)</f>
        <v>0</v>
      </c>
      <c r="M64" s="28" t="n">
        <f aca="false">IF(A64=0,-L64,H64-I64-J64-K64)</f>
        <v>176409.4</v>
      </c>
      <c r="N64" s="28" t="n">
        <f aca="false">N63+M64</f>
        <v>7701210.30000001</v>
      </c>
      <c r="O64" s="29" t="n">
        <f aca="false">1/(1+Supuestos!$C$46)^A64</f>
        <v>0.630863433181654</v>
      </c>
      <c r="P64" s="28" t="n">
        <f aca="false">M64*O64</f>
        <v>111290.239729516</v>
      </c>
      <c r="Q64" s="28" t="n">
        <f aca="false">Q63+P64</f>
        <v>5735095.585865</v>
      </c>
      <c r="R64" s="30" t="n">
        <f aca="false">IF(AND(A64&gt;0,N64&gt;=0),1,0)</f>
        <v>1</v>
      </c>
      <c r="S64" s="30" t="n">
        <f aca="false">IF(AND(A64&gt;0,Q64&gt;=0),1,0)</f>
        <v>1</v>
      </c>
    </row>
    <row r="65" customFormat="false" ht="15" hidden="false" customHeight="false" outlineLevel="0" collapsed="false">
      <c r="A65" s="4" t="n">
        <v>59</v>
      </c>
      <c r="B65" s="31" t="n">
        <f aca="false">IF(A65=0,0,IF(A65&lt;=Supuestos!$C$24,Supuestos!$C$22,IF(A65&gt;=Supuestos!$E$8,$V$7,Supuestos!$C$22+($V$7-Supuestos!$C$22)*(A65-Supuestos!$C$24)/(Supuestos!$E$8-Supuestos!$C$24))))</f>
        <v>301.28</v>
      </c>
      <c r="C65" s="31" t="n">
        <f aca="false">B65*Supuestos!$E$6</f>
        <v>3012.8</v>
      </c>
      <c r="D65" s="32" t="n">
        <f aca="false">C65*Supuestos!$C$42</f>
        <v>13055.4666666667</v>
      </c>
      <c r="E65" s="32" t="n">
        <f aca="false">IF(A65=0,0,MAX(Supuestos!$C$23,ROUNDUP(C65/Supuestos!$C$18,0)))</f>
        <v>101</v>
      </c>
      <c r="F65" s="31" t="n">
        <f aca="false">MAX(0,E65-IF(A64=0,Supuestos!$C$23,E64))+Supuestos!$C$19*E65</f>
        <v>3.03</v>
      </c>
      <c r="G65" s="32" t="n">
        <f aca="false">IF(A65=0,0,MAX(1,ROUNDUP(B65/Supuestos!$C$21,0)))</f>
        <v>4</v>
      </c>
      <c r="H65" s="33" t="n">
        <f aca="false">D65*(Supuestos!$C$14+Supuestos!$E$7)</f>
        <v>1305546.66666667</v>
      </c>
      <c r="I65" s="33" t="n">
        <f aca="false">D65*Supuestos!$C$43</f>
        <v>972632.266666667</v>
      </c>
      <c r="J65" s="33" t="n">
        <f aca="false">IF(A65=0,0,Supuestos!$C$44+G65*Supuestos!$C$26)</f>
        <v>145900</v>
      </c>
      <c r="K65" s="21" t="n">
        <f aca="false">F65*Supuestos!$C$20</f>
        <v>10605</v>
      </c>
      <c r="L65" s="33" t="n">
        <f aca="false">IF(A65=0,Supuestos!$C$45,0)</f>
        <v>0</v>
      </c>
      <c r="M65" s="21" t="n">
        <f aca="false">IF(A65=0,-L65,H65-I65-J65-K65)</f>
        <v>176409.4</v>
      </c>
      <c r="N65" s="21" t="n">
        <f aca="false">N64+M65</f>
        <v>7877619.70000001</v>
      </c>
      <c r="O65" s="34" t="n">
        <f aca="false">1/(1+Supuestos!$C$46)^A65</f>
        <v>0.625872636884529</v>
      </c>
      <c r="P65" s="21" t="n">
        <f aca="false">M65*O65</f>
        <v>110409.816349218</v>
      </c>
      <c r="Q65" s="21" t="n">
        <f aca="false">Q64+P65</f>
        <v>5845505.40221422</v>
      </c>
      <c r="R65" s="35" t="n">
        <f aca="false">IF(AND(A65&gt;0,N65&gt;=0),1,0)</f>
        <v>1</v>
      </c>
      <c r="S65" s="35" t="n">
        <f aca="false">IF(AND(A65&gt;0,Q65&gt;=0),1,0)</f>
        <v>1</v>
      </c>
    </row>
    <row r="66" customFormat="false" ht="15" hidden="false" customHeight="false" outlineLevel="0" collapsed="false">
      <c r="A66" s="24" t="n">
        <v>60</v>
      </c>
      <c r="B66" s="25" t="n">
        <f aca="false">IF(A66=0,0,IF(A66&lt;=Supuestos!$C$24,Supuestos!$C$22,IF(A66&gt;=Supuestos!$E$8,$V$7,Supuestos!$C$22+($V$7-Supuestos!$C$22)*(A66-Supuestos!$C$24)/(Supuestos!$E$8-Supuestos!$C$24))))</f>
        <v>301.28</v>
      </c>
      <c r="C66" s="25" t="n">
        <f aca="false">B66*Supuestos!$E$6</f>
        <v>3012.8</v>
      </c>
      <c r="D66" s="26" t="n">
        <f aca="false">C66*Supuestos!$C$42</f>
        <v>13055.4666666667</v>
      </c>
      <c r="E66" s="26" t="n">
        <f aca="false">IF(A66=0,0,MAX(Supuestos!$C$23,ROUNDUP(C66/Supuestos!$C$18,0)))</f>
        <v>101</v>
      </c>
      <c r="F66" s="25" t="n">
        <f aca="false">MAX(0,E66-IF(A65=0,Supuestos!$C$23,E65))+Supuestos!$C$19*E66</f>
        <v>3.03</v>
      </c>
      <c r="G66" s="26" t="n">
        <f aca="false">IF(A66=0,0,MAX(1,ROUNDUP(B66/Supuestos!$C$21,0)))</f>
        <v>4</v>
      </c>
      <c r="H66" s="27" t="n">
        <f aca="false">D66*(Supuestos!$C$14+Supuestos!$E$7)</f>
        <v>1305546.66666667</v>
      </c>
      <c r="I66" s="27" t="n">
        <f aca="false">D66*Supuestos!$C$43</f>
        <v>972632.266666667</v>
      </c>
      <c r="J66" s="27" t="n">
        <f aca="false">IF(A66=0,0,Supuestos!$C$44+G66*Supuestos!$C$26)</f>
        <v>145900</v>
      </c>
      <c r="K66" s="28" t="n">
        <f aca="false">F66*Supuestos!$C$20</f>
        <v>10605</v>
      </c>
      <c r="L66" s="27" t="n">
        <f aca="false">IF(A66=0,Supuestos!$C$45,0)</f>
        <v>0</v>
      </c>
      <c r="M66" s="28" t="n">
        <f aca="false">IF(A66=0,-L66,H66-I66-J66-K66)</f>
        <v>176409.4</v>
      </c>
      <c r="N66" s="28" t="n">
        <f aca="false">N65+M66</f>
        <v>8054029.10000001</v>
      </c>
      <c r="O66" s="29" t="n">
        <f aca="false">1/(1+Supuestos!$C$46)^A66</f>
        <v>0.620921323059154</v>
      </c>
      <c r="P66" s="28" t="n">
        <f aca="false">M66*O66</f>
        <v>109536.358048072</v>
      </c>
      <c r="Q66" s="28" t="n">
        <f aca="false">Q65+P66</f>
        <v>5955041.76026229</v>
      </c>
      <c r="R66" s="30" t="n">
        <f aca="false">IF(AND(A66&gt;0,N66&gt;=0),1,0)</f>
        <v>1</v>
      </c>
      <c r="S66" s="30" t="n">
        <f aca="false">IF(AND(A66&gt;0,Q66&gt;=0),1,0)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  <col collapsed="false" customWidth="true" hidden="false" outlineLevel="0" max="5" min="5" style="0" width="18"/>
  </cols>
  <sheetData>
    <row r="1" customFormat="false" ht="16.15" hidden="false" customHeight="false" outlineLevel="0" collapsed="false">
      <c r="A1" s="1" t="s">
        <v>146</v>
      </c>
    </row>
    <row r="2" customFormat="false" ht="15" hidden="false" customHeight="false" outlineLevel="0" collapsed="false">
      <c r="A2" s="7" t="s">
        <v>147</v>
      </c>
    </row>
    <row r="4" customFormat="false" ht="15" hidden="false" customHeight="false" outlineLevel="0" collapsed="false">
      <c r="A4" s="8" t="s">
        <v>99</v>
      </c>
      <c r="B4" s="8" t="s">
        <v>22</v>
      </c>
      <c r="C4" s="8" t="s">
        <v>23</v>
      </c>
      <c r="D4" s="8" t="s">
        <v>24</v>
      </c>
      <c r="E4" s="8" t="s">
        <v>148</v>
      </c>
    </row>
    <row r="5" customFormat="false" ht="15" hidden="false" customHeight="false" outlineLevel="0" collapsed="false">
      <c r="A5" s="2" t="s">
        <v>37</v>
      </c>
      <c r="B5" s="37" t="n">
        <f aca="false">Supuestos!C9</f>
        <v>0.3</v>
      </c>
      <c r="C5" s="37" t="n">
        <f aca="false">Supuestos!D9</f>
        <v>0.5</v>
      </c>
      <c r="D5" s="37" t="n">
        <f aca="false">Supuestos!E9</f>
        <v>0.2</v>
      </c>
    </row>
    <row r="6" customFormat="false" ht="15" hidden="false" customHeight="false" outlineLevel="0" collapsed="false">
      <c r="A6" s="3" t="s">
        <v>149</v>
      </c>
      <c r="B6" s="33" t="n">
        <f aca="false">'Flujo Pesimista'!V8</f>
        <v>-4031953.37969184</v>
      </c>
      <c r="C6" s="33" t="n">
        <f aca="false">'Flujo Realista'!V8</f>
        <v>487908.000264275</v>
      </c>
      <c r="D6" s="33" t="n">
        <f aca="false">'Flujo Optimista'!V8</f>
        <v>5955041.76026229</v>
      </c>
      <c r="E6" s="38" t="n">
        <f aca="false">SUMPRODUCT($B$5:$D$5,B6:D6)</f>
        <v>225376.338277044</v>
      </c>
    </row>
    <row r="7" customFormat="false" ht="15" hidden="false" customHeight="false" outlineLevel="0" collapsed="false">
      <c r="A7" s="3" t="s">
        <v>142</v>
      </c>
      <c r="B7" s="33" t="n">
        <f aca="false">'Flujo Pesimista'!V28</f>
        <v>-1170673.44743974</v>
      </c>
      <c r="C7" s="33" t="n">
        <f aca="false">'Flujo Realista'!V28</f>
        <v>487908.000264275</v>
      </c>
      <c r="D7" s="33" t="n">
        <f aca="false">'Flujo Optimista'!V28</f>
        <v>5955041.76026229</v>
      </c>
      <c r="E7" s="38" t="n">
        <f aca="false">SUMPRODUCT($B$5:$D$5,B7:D7)</f>
        <v>1083760.31795267</v>
      </c>
    </row>
    <row r="8" customFormat="false" ht="15" hidden="false" customHeight="false" outlineLevel="0" collapsed="false">
      <c r="A8" s="2" t="s">
        <v>150</v>
      </c>
      <c r="B8" s="5" t="str">
        <f aca="false">'Flujo Pesimista'!V26</f>
        <v>Sí</v>
      </c>
      <c r="C8" s="5" t="str">
        <f aca="false">'Flujo Realista'!V26</f>
        <v>No</v>
      </c>
      <c r="D8" s="5" t="str">
        <f aca="false">'Flujo Optimista'!V26</f>
        <v>No</v>
      </c>
    </row>
    <row r="9" customFormat="false" ht="15" hidden="false" customHeight="false" outlineLevel="0" collapsed="false">
      <c r="A9" s="2" t="s">
        <v>151</v>
      </c>
      <c r="B9" s="37" t="str">
        <f aca="false">'Flujo Pesimista'!V10</f>
        <v>No existe</v>
      </c>
      <c r="C9" s="37" t="n">
        <f aca="false">'Flujo Realista'!V10</f>
        <v>0.315250948546251</v>
      </c>
      <c r="D9" s="37" t="n">
        <f aca="false">'Flujo Optimista'!V10</f>
        <v>2.59928879059214</v>
      </c>
    </row>
    <row r="10" customFormat="false" ht="15" hidden="false" customHeight="false" outlineLevel="0" collapsed="false">
      <c r="A10" s="2" t="s">
        <v>126</v>
      </c>
      <c r="B10" s="39" t="str">
        <f aca="false">'Flujo Pesimista'!V11</f>
        <v>No se recupera</v>
      </c>
      <c r="C10" s="39" t="n">
        <f aca="false">'Flujo Realista'!V11</f>
        <v>37</v>
      </c>
      <c r="D10" s="39" t="n">
        <f aca="false">'Flujo Optimista'!V11</f>
        <v>15</v>
      </c>
    </row>
    <row r="11" customFormat="false" ht="15" hidden="false" customHeight="false" outlineLevel="0" collapsed="false">
      <c r="A11" s="2" t="s">
        <v>127</v>
      </c>
      <c r="B11" s="39" t="str">
        <f aca="false">'Flujo Pesimista'!V12</f>
        <v>No se recupera</v>
      </c>
      <c r="C11" s="39" t="n">
        <f aca="false">'Flujo Realista'!V12</f>
        <v>42</v>
      </c>
      <c r="D11" s="39" t="n">
        <f aca="false">'Flujo Optimista'!V12</f>
        <v>15</v>
      </c>
    </row>
    <row r="12" customFormat="false" ht="15" hidden="false" customHeight="false" outlineLevel="0" collapsed="false">
      <c r="A12" s="2" t="s">
        <v>129</v>
      </c>
      <c r="B12" s="39" t="n">
        <f aca="false">'Flujo Pesimista'!V14</f>
        <v>17690.9090909091</v>
      </c>
      <c r="C12" s="39" t="n">
        <f aca="false">'Flujo Realista'!V14</f>
        <v>4768.62745098039</v>
      </c>
      <c r="D12" s="39" t="n">
        <f aca="false">'Flujo Optimista'!V14</f>
        <v>5721.56862745098</v>
      </c>
    </row>
    <row r="13" customFormat="false" ht="15" hidden="false" customHeight="false" outlineLevel="0" collapsed="false">
      <c r="A13" s="2" t="s">
        <v>130</v>
      </c>
      <c r="B13" s="40" t="n">
        <f aca="false">'Flujo Pesimista'!V15</f>
        <v>680.419580419581</v>
      </c>
      <c r="C13" s="40" t="n">
        <f aca="false">'Flujo Realista'!V15</f>
        <v>137.556561085973</v>
      </c>
      <c r="D13" s="40" t="n">
        <f aca="false">'Flujo Optimista'!V15</f>
        <v>132.036199095023</v>
      </c>
    </row>
    <row r="14" customFormat="false" ht="15" hidden="false" customHeight="false" outlineLevel="0" collapsed="false">
      <c r="A14" s="2" t="s">
        <v>131</v>
      </c>
      <c r="B14" s="33" t="n">
        <f aca="false">'Flujo Pesimista'!V16</f>
        <v>-5078090.52499999</v>
      </c>
      <c r="C14" s="33" t="n">
        <f aca="false">'Flujo Realista'!V16</f>
        <v>912104.2</v>
      </c>
      <c r="D14" s="33" t="n">
        <f aca="false">'Flujo Optimista'!V16</f>
        <v>8054029.10000001</v>
      </c>
      <c r="E14" s="38" t="n">
        <f aca="false">SUMPRODUCT($B$5:$D$5,B14:D14)</f>
        <v>543430.762500003</v>
      </c>
    </row>
    <row r="15" customFormat="false" ht="15" hidden="false" customHeight="false" outlineLevel="0" collapsed="false">
      <c r="A15" s="2" t="s">
        <v>143</v>
      </c>
      <c r="B15" s="33" t="n">
        <f aca="false">'Flujo Pesimista'!V29</f>
        <v>-1227745.14166667</v>
      </c>
      <c r="C15" s="33" t="n">
        <f aca="false">'Flujo Realista'!V29</f>
        <v>912104.2</v>
      </c>
      <c r="D15" s="33" t="n">
        <f aca="false">'Flujo Optimista'!V29</f>
        <v>8054029.10000001</v>
      </c>
      <c r="E15" s="38" t="n">
        <f aca="false">SUMPRODUCT($B$5:$D$5,B15:D15)</f>
        <v>1698534.3775</v>
      </c>
    </row>
    <row r="16" customFormat="false" ht="15" hidden="false" customHeight="false" outlineLevel="0" collapsed="false">
      <c r="A16" s="2" t="s">
        <v>134</v>
      </c>
      <c r="B16" s="33" t="n">
        <f aca="false">'Flujo Pesimista'!V20</f>
        <v>585381.5</v>
      </c>
      <c r="C16" s="33" t="n">
        <f aca="false">'Flujo Realista'!V20</f>
        <v>617342</v>
      </c>
      <c r="D16" s="33" t="n">
        <f aca="false">'Flujo Optimista'!V20</f>
        <v>649302.5</v>
      </c>
    </row>
    <row r="17" customFormat="false" ht="15" hidden="false" customHeight="false" outlineLevel="0" collapsed="false">
      <c r="A17" s="2" t="s">
        <v>135</v>
      </c>
      <c r="B17" s="33" t="n">
        <f aca="false">'Flujo Pesimista'!V21</f>
        <v>5078090.52499999</v>
      </c>
      <c r="C17" s="33" t="n">
        <f aca="false">'Flujo Realista'!V21</f>
        <v>823934.866666666</v>
      </c>
      <c r="D17" s="33" t="n">
        <f aca="false">'Flujo Optimista'!V21</f>
        <v>661900.3</v>
      </c>
    </row>
    <row r="18" customFormat="false" ht="15" hidden="false" customHeight="false" outlineLevel="0" collapsed="false">
      <c r="A18" s="2" t="s">
        <v>136</v>
      </c>
      <c r="B18" s="40" t="n">
        <f aca="false">'Flujo Pesimista'!V22</f>
        <v>94.15</v>
      </c>
      <c r="C18" s="40" t="n">
        <f aca="false">'Flujo Realista'!V22</f>
        <v>188.3</v>
      </c>
      <c r="D18" s="40" t="n">
        <f aca="false">'Flujo Optimista'!V22</f>
        <v>301.28</v>
      </c>
    </row>
    <row r="19" customFormat="false" ht="15" hidden="false" customHeight="false" outlineLevel="0" collapsed="false">
      <c r="A19" s="2" t="s">
        <v>137</v>
      </c>
      <c r="B19" s="39" t="n">
        <f aca="false">'Flujo Pesimista'!V23</f>
        <v>2447.9</v>
      </c>
      <c r="C19" s="39" t="n">
        <f aca="false">'Flujo Realista'!V23</f>
        <v>6527.73333333333</v>
      </c>
      <c r="D19" s="39" t="n">
        <f aca="false">'Flujo Optimista'!V23</f>
        <v>13055.4666666667</v>
      </c>
    </row>
    <row r="20" customFormat="false" ht="15" hidden="false" customHeight="false" outlineLevel="0" collapsed="false">
      <c r="A20" s="2" t="s">
        <v>138</v>
      </c>
      <c r="B20" s="39" t="n">
        <f aca="false">'Flujo Pesimista'!V24</f>
        <v>19</v>
      </c>
      <c r="C20" s="39" t="n">
        <f aca="false">'Flujo Realista'!V24</f>
        <v>51</v>
      </c>
      <c r="D20" s="39" t="n">
        <f aca="false">'Flujo Optimista'!V24</f>
        <v>101</v>
      </c>
    </row>
    <row r="22" customFormat="false" ht="15" hidden="false" customHeight="false" outlineLevel="0" collapsed="false">
      <c r="A22" s="2" t="s">
        <v>152</v>
      </c>
      <c r="B22" s="15" t="n">
        <v>38.0070047397686</v>
      </c>
    </row>
    <row r="24" customFormat="false" ht="15" hidden="false" customHeight="false" outlineLevel="0" collapsed="false">
      <c r="A24" s="3" t="s">
        <v>153</v>
      </c>
    </row>
    <row r="25" customFormat="false" ht="30" hidden="false" customHeight="true" outlineLevel="0" collapsed="false">
      <c r="A25" s="41" t="s">
        <v>154</v>
      </c>
      <c r="B25" s="41"/>
      <c r="C25" s="41"/>
      <c r="D25" s="41"/>
      <c r="E25" s="41"/>
    </row>
    <row r="26" customFormat="false" ht="15" hidden="false" customHeight="false" outlineLevel="0" collapsed="false">
      <c r="A26" s="41"/>
      <c r="B26" s="41"/>
      <c r="C26" s="41"/>
      <c r="D26" s="41"/>
      <c r="E26" s="41"/>
    </row>
    <row r="27" customFormat="false" ht="15" hidden="false" customHeight="false" outlineLevel="0" collapsed="false">
      <c r="A27" s="41"/>
      <c r="B27" s="41"/>
      <c r="C27" s="41"/>
      <c r="D27" s="41"/>
      <c r="E27" s="41"/>
    </row>
  </sheetData>
  <mergeCells count="1">
    <mergeCell ref="A25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9" min="8" style="0" width="14"/>
  </cols>
  <sheetData>
    <row r="1" customFormat="false" ht="16.15" hidden="false" customHeight="false" outlineLevel="0" collapsed="false">
      <c r="A1" s="1" t="s">
        <v>155</v>
      </c>
    </row>
    <row r="2" customFormat="false" ht="15" hidden="false" customHeight="false" outlineLevel="0" collapsed="false">
      <c r="A2" s="7" t="s">
        <v>156</v>
      </c>
    </row>
    <row r="4" customFormat="false" ht="23.85" hidden="false" customHeight="false" outlineLevel="0" collapsed="false">
      <c r="A4" s="8" t="s">
        <v>157</v>
      </c>
      <c r="B4" s="8" t="s">
        <v>158</v>
      </c>
      <c r="C4" s="8" t="s">
        <v>159</v>
      </c>
      <c r="D4" s="8" t="s">
        <v>160</v>
      </c>
      <c r="E4" s="8" t="s">
        <v>161</v>
      </c>
      <c r="F4" s="8" t="s">
        <v>162</v>
      </c>
      <c r="G4" s="8" t="s">
        <v>163</v>
      </c>
      <c r="H4" s="8" t="s">
        <v>164</v>
      </c>
      <c r="I4" s="8" t="s">
        <v>165</v>
      </c>
    </row>
    <row r="5" customFormat="false" ht="15" hidden="false" customHeight="false" outlineLevel="0" collapsed="false">
      <c r="A5" s="4" t="n">
        <v>0</v>
      </c>
      <c r="B5" s="4" t="s">
        <v>166</v>
      </c>
      <c r="C5" s="14" t="n">
        <v>1337</v>
      </c>
      <c r="D5" s="14" t="n">
        <v>1144</v>
      </c>
      <c r="E5" s="14" t="n">
        <v>84</v>
      </c>
      <c r="F5" s="14" t="n">
        <v>109</v>
      </c>
      <c r="G5" s="32" t="n">
        <f aca="false">C6-C5</f>
        <v>2</v>
      </c>
      <c r="H5" s="32" t="n">
        <f aca="false">C7-C5</f>
        <v>0</v>
      </c>
      <c r="I5" s="32" t="n">
        <f aca="false">C8-C5</f>
        <v>9</v>
      </c>
    </row>
    <row r="6" customFormat="false" ht="15" hidden="false" customHeight="false" outlineLevel="0" collapsed="false">
      <c r="A6" s="4" t="n">
        <v>1</v>
      </c>
      <c r="B6" s="4" t="s">
        <v>167</v>
      </c>
      <c r="C6" s="14" t="n">
        <v>1339</v>
      </c>
      <c r="D6" s="14" t="n">
        <v>1146</v>
      </c>
      <c r="E6" s="14" t="n">
        <v>84</v>
      </c>
      <c r="F6" s="14" t="n">
        <v>109</v>
      </c>
      <c r="G6" s="32" t="n">
        <f aca="false">C7-C6</f>
        <v>-2</v>
      </c>
      <c r="H6" s="32" t="n">
        <f aca="false">C8-C6</f>
        <v>7</v>
      </c>
      <c r="I6" s="32" t="n">
        <f aca="false">C9-C6</f>
        <v>7</v>
      </c>
    </row>
    <row r="7" customFormat="false" ht="15" hidden="false" customHeight="false" outlineLevel="0" collapsed="false">
      <c r="A7" s="4" t="n">
        <v>2</v>
      </c>
      <c r="B7" s="4" t="s">
        <v>168</v>
      </c>
      <c r="C7" s="14" t="n">
        <v>1337</v>
      </c>
      <c r="D7" s="14" t="n">
        <v>1145</v>
      </c>
      <c r="E7" s="14" t="n">
        <v>84</v>
      </c>
      <c r="F7" s="14" t="n">
        <v>108</v>
      </c>
      <c r="G7" s="32" t="n">
        <f aca="false">C8-C7</f>
        <v>9</v>
      </c>
      <c r="H7" s="32" t="n">
        <f aca="false">C9-C7</f>
        <v>9</v>
      </c>
      <c r="I7" s="32" t="n">
        <f aca="false">C10-C7</f>
        <v>9</v>
      </c>
    </row>
    <row r="8" customFormat="false" ht="15" hidden="false" customHeight="false" outlineLevel="0" collapsed="false">
      <c r="A8" s="4" t="n">
        <v>3</v>
      </c>
      <c r="B8" s="4" t="s">
        <v>169</v>
      </c>
      <c r="C8" s="14" t="n">
        <v>1346</v>
      </c>
      <c r="D8" s="14" t="n">
        <v>1152</v>
      </c>
      <c r="E8" s="14" t="n">
        <v>87</v>
      </c>
      <c r="F8" s="14" t="n">
        <v>107</v>
      </c>
      <c r="G8" s="32" t="n">
        <f aca="false">C9-C8</f>
        <v>0</v>
      </c>
      <c r="H8" s="32" t="n">
        <f aca="false">C10-C8</f>
        <v>0</v>
      </c>
      <c r="I8" s="32" t="n">
        <f aca="false">C11-C8</f>
        <v>-3</v>
      </c>
    </row>
    <row r="9" customFormat="false" ht="15" hidden="false" customHeight="false" outlineLevel="0" collapsed="false">
      <c r="A9" s="4" t="n">
        <v>4</v>
      </c>
      <c r="B9" s="4" t="s">
        <v>170</v>
      </c>
      <c r="C9" s="14" t="n">
        <v>1346</v>
      </c>
      <c r="D9" s="14" t="n">
        <v>1152</v>
      </c>
      <c r="E9" s="14" t="n">
        <v>87</v>
      </c>
      <c r="F9" s="14" t="n">
        <v>107</v>
      </c>
      <c r="G9" s="32" t="n">
        <f aca="false">C10-C9</f>
        <v>0</v>
      </c>
      <c r="H9" s="32" t="n">
        <f aca="false">C11-C9</f>
        <v>-3</v>
      </c>
      <c r="I9" s="32" t="n">
        <f aca="false">C12-C9</f>
        <v>-196</v>
      </c>
    </row>
    <row r="10" customFormat="false" ht="15" hidden="false" customHeight="false" outlineLevel="0" collapsed="false">
      <c r="A10" s="4" t="n">
        <v>5</v>
      </c>
      <c r="B10" s="4" t="s">
        <v>171</v>
      </c>
      <c r="C10" s="14" t="n">
        <v>1346</v>
      </c>
      <c r="D10" s="14" t="n">
        <v>1152</v>
      </c>
      <c r="E10" s="14" t="n">
        <v>87</v>
      </c>
      <c r="F10" s="14" t="n">
        <v>107</v>
      </c>
      <c r="G10" s="32" t="n">
        <f aca="false">C11-C10</f>
        <v>-3</v>
      </c>
      <c r="H10" s="32" t="n">
        <f aca="false">C12-C10</f>
        <v>-196</v>
      </c>
      <c r="I10" s="32" t="n">
        <f aca="false">C13-C10</f>
        <v>-356</v>
      </c>
    </row>
    <row r="11" customFormat="false" ht="15" hidden="false" customHeight="false" outlineLevel="0" collapsed="false">
      <c r="A11" s="4" t="n">
        <v>6</v>
      </c>
      <c r="B11" s="4" t="s">
        <v>172</v>
      </c>
      <c r="C11" s="14" t="n">
        <v>1343</v>
      </c>
      <c r="D11" s="14" t="n">
        <v>1152</v>
      </c>
      <c r="E11" s="14" t="n">
        <v>84</v>
      </c>
      <c r="F11" s="14" t="n">
        <v>107</v>
      </c>
      <c r="G11" s="32" t="n">
        <f aca="false">C12-C11</f>
        <v>-193</v>
      </c>
      <c r="H11" s="32" t="n">
        <f aca="false">C13-C11</f>
        <v>-353</v>
      </c>
      <c r="I11" s="32" t="n">
        <f aca="false">C14-C11</f>
        <v>-351</v>
      </c>
    </row>
    <row r="12" customFormat="false" ht="15" hidden="false" customHeight="false" outlineLevel="0" collapsed="false">
      <c r="A12" s="4" t="n">
        <v>7</v>
      </c>
      <c r="B12" s="4" t="s">
        <v>173</v>
      </c>
      <c r="C12" s="14" t="n">
        <v>1150</v>
      </c>
      <c r="D12" s="14" t="n">
        <v>936</v>
      </c>
      <c r="E12" s="14" t="n">
        <v>102</v>
      </c>
      <c r="F12" s="14" t="n">
        <v>112</v>
      </c>
      <c r="G12" s="32" t="n">
        <f aca="false">C13-C12</f>
        <v>-160</v>
      </c>
      <c r="H12" s="32" t="n">
        <f aca="false">C14-C12</f>
        <v>-158</v>
      </c>
      <c r="I12" s="32" t="n">
        <f aca="false">C15-C12</f>
        <v>-163</v>
      </c>
    </row>
    <row r="13" customFormat="false" ht="15" hidden="false" customHeight="false" outlineLevel="0" collapsed="false">
      <c r="A13" s="4" t="n">
        <v>8</v>
      </c>
      <c r="B13" s="4" t="s">
        <v>174</v>
      </c>
      <c r="C13" s="14" t="n">
        <v>990</v>
      </c>
      <c r="D13" s="14" t="n">
        <v>761</v>
      </c>
      <c r="E13" s="14" t="n">
        <v>105</v>
      </c>
      <c r="F13" s="14" t="n">
        <v>124</v>
      </c>
      <c r="G13" s="32" t="n">
        <f aca="false">C14-C13</f>
        <v>2</v>
      </c>
      <c r="H13" s="32" t="n">
        <f aca="false">C15-C13</f>
        <v>-3</v>
      </c>
      <c r="I13" s="32" t="n">
        <f aca="false">C16-C13</f>
        <v>-3</v>
      </c>
    </row>
    <row r="14" customFormat="false" ht="15" hidden="false" customHeight="false" outlineLevel="0" collapsed="false">
      <c r="A14" s="4" t="n">
        <v>9</v>
      </c>
      <c r="B14" s="4" t="s">
        <v>175</v>
      </c>
      <c r="C14" s="14" t="n">
        <v>992</v>
      </c>
      <c r="D14" s="14" t="n">
        <v>760</v>
      </c>
      <c r="E14" s="14" t="n">
        <v>108</v>
      </c>
      <c r="F14" s="14" t="n">
        <v>124</v>
      </c>
      <c r="G14" s="32" t="n">
        <f aca="false">C15-C14</f>
        <v>-5</v>
      </c>
      <c r="H14" s="32" t="n">
        <f aca="false">C16-C14</f>
        <v>-5</v>
      </c>
      <c r="I14" s="32" t="n">
        <f aca="false">C17-C14</f>
        <v>-6</v>
      </c>
    </row>
    <row r="15" customFormat="false" ht="15" hidden="false" customHeight="false" outlineLevel="0" collapsed="false">
      <c r="A15" s="4" t="n">
        <v>10</v>
      </c>
      <c r="B15" s="4" t="s">
        <v>176</v>
      </c>
      <c r="C15" s="14" t="n">
        <v>987</v>
      </c>
      <c r="D15" s="14" t="n">
        <v>756</v>
      </c>
      <c r="E15" s="14" t="n">
        <v>107</v>
      </c>
      <c r="F15" s="14" t="n">
        <v>124</v>
      </c>
      <c r="G15" s="32" t="n">
        <f aca="false">C16-C15</f>
        <v>0</v>
      </c>
      <c r="H15" s="32" t="n">
        <f aca="false">C17-C15</f>
        <v>-1</v>
      </c>
      <c r="I15" s="32" t="n">
        <f aca="false">C18-C15</f>
        <v>-1</v>
      </c>
    </row>
    <row r="16" customFormat="false" ht="15" hidden="false" customHeight="false" outlineLevel="0" collapsed="false">
      <c r="A16" s="4" t="n">
        <v>11</v>
      </c>
      <c r="B16" s="4" t="s">
        <v>177</v>
      </c>
      <c r="C16" s="14" t="n">
        <v>987</v>
      </c>
      <c r="D16" s="14" t="n">
        <v>756</v>
      </c>
      <c r="E16" s="14" t="n">
        <v>107</v>
      </c>
      <c r="F16" s="14" t="n">
        <v>124</v>
      </c>
      <c r="G16" s="32" t="n">
        <f aca="false">C17-C16</f>
        <v>-1</v>
      </c>
      <c r="H16" s="32" t="n">
        <f aca="false">C18-C16</f>
        <v>-1</v>
      </c>
      <c r="I16" s="32" t="n">
        <f aca="false">C19-C16</f>
        <v>-1</v>
      </c>
    </row>
    <row r="17" customFormat="false" ht="15" hidden="false" customHeight="false" outlineLevel="0" collapsed="false">
      <c r="A17" s="4" t="n">
        <v>12</v>
      </c>
      <c r="B17" s="4" t="s">
        <v>178</v>
      </c>
      <c r="C17" s="14" t="n">
        <v>986</v>
      </c>
      <c r="D17" s="14" t="n">
        <v>755</v>
      </c>
      <c r="E17" s="14" t="n">
        <v>107</v>
      </c>
      <c r="F17" s="14" t="n">
        <v>124</v>
      </c>
      <c r="G17" s="32" t="n">
        <f aca="false">C18-C17</f>
        <v>0</v>
      </c>
      <c r="H17" s="32" t="n">
        <f aca="false">C19-C17</f>
        <v>0</v>
      </c>
      <c r="I17" s="32" t="n">
        <f aca="false">C20-C17</f>
        <v>10</v>
      </c>
    </row>
    <row r="18" customFormat="false" ht="15" hidden="false" customHeight="false" outlineLevel="0" collapsed="false">
      <c r="A18" s="4" t="n">
        <v>13</v>
      </c>
      <c r="B18" s="4" t="s">
        <v>179</v>
      </c>
      <c r="C18" s="14" t="n">
        <v>986</v>
      </c>
      <c r="D18" s="14" t="n">
        <v>755</v>
      </c>
      <c r="E18" s="14" t="n">
        <v>107</v>
      </c>
      <c r="F18" s="14" t="n">
        <v>124</v>
      </c>
      <c r="G18" s="32" t="n">
        <f aca="false">C19-C18</f>
        <v>0</v>
      </c>
      <c r="H18" s="32" t="n">
        <f aca="false">C20-C18</f>
        <v>10</v>
      </c>
      <c r="I18" s="32" t="n">
        <f aca="false">C21-C18</f>
        <v>8</v>
      </c>
    </row>
    <row r="19" customFormat="false" ht="15" hidden="false" customHeight="false" outlineLevel="0" collapsed="false">
      <c r="A19" s="4" t="n">
        <v>14</v>
      </c>
      <c r="B19" s="4" t="s">
        <v>180</v>
      </c>
      <c r="C19" s="14" t="n">
        <v>986</v>
      </c>
      <c r="D19" s="14" t="n">
        <v>755</v>
      </c>
      <c r="E19" s="14" t="n">
        <v>107</v>
      </c>
      <c r="F19" s="14" t="n">
        <v>124</v>
      </c>
      <c r="G19" s="32" t="n">
        <f aca="false">C20-C19</f>
        <v>10</v>
      </c>
      <c r="H19" s="32" t="n">
        <f aca="false">C21-C19</f>
        <v>8</v>
      </c>
      <c r="I19" s="32" t="n">
        <f aca="false">C22-C19</f>
        <v>-164</v>
      </c>
    </row>
    <row r="20" customFormat="false" ht="15" hidden="false" customHeight="false" outlineLevel="0" collapsed="false">
      <c r="A20" s="4" t="n">
        <v>15</v>
      </c>
      <c r="B20" s="4" t="s">
        <v>181</v>
      </c>
      <c r="C20" s="14" t="n">
        <v>996</v>
      </c>
      <c r="D20" s="14" t="n">
        <v>762</v>
      </c>
      <c r="E20" s="14" t="n">
        <v>108</v>
      </c>
      <c r="F20" s="14" t="n">
        <v>126</v>
      </c>
      <c r="G20" s="32" t="n">
        <f aca="false">C21-C20</f>
        <v>-2</v>
      </c>
      <c r="H20" s="32" t="n">
        <f aca="false">C22-C20</f>
        <v>-174</v>
      </c>
      <c r="I20" s="32" t="n">
        <f aca="false">C23-C20</f>
        <v>-183</v>
      </c>
    </row>
    <row r="21" customFormat="false" ht="15" hidden="false" customHeight="false" outlineLevel="0" collapsed="false">
      <c r="A21" s="4" t="n">
        <v>16</v>
      </c>
      <c r="B21" s="4" t="s">
        <v>182</v>
      </c>
      <c r="C21" s="14" t="n">
        <v>994</v>
      </c>
      <c r="D21" s="14" t="n">
        <v>760</v>
      </c>
      <c r="E21" s="14" t="n">
        <v>109</v>
      </c>
      <c r="F21" s="14" t="n">
        <v>125</v>
      </c>
      <c r="G21" s="32" t="n">
        <f aca="false">C22-C21</f>
        <v>-172</v>
      </c>
      <c r="H21" s="32" t="n">
        <f aca="false">C23-C21</f>
        <v>-181</v>
      </c>
      <c r="I21" s="32" t="n">
        <f aca="false">C24-C21</f>
        <v>-181</v>
      </c>
    </row>
    <row r="22" customFormat="false" ht="15" hidden="false" customHeight="false" outlineLevel="0" collapsed="false">
      <c r="A22" s="4" t="n">
        <v>17</v>
      </c>
      <c r="B22" s="4" t="s">
        <v>183</v>
      </c>
      <c r="C22" s="14" t="n">
        <v>822</v>
      </c>
      <c r="D22" s="14" t="n">
        <v>592</v>
      </c>
      <c r="E22" s="14" t="n">
        <v>108</v>
      </c>
      <c r="F22" s="14" t="n">
        <v>122</v>
      </c>
      <c r="G22" s="32" t="n">
        <f aca="false">C23-C22</f>
        <v>-9</v>
      </c>
      <c r="H22" s="32" t="n">
        <f aca="false">C24-C22</f>
        <v>-9</v>
      </c>
      <c r="I22" s="32" t="n">
        <f aca="false">C25-C22</f>
        <v>16</v>
      </c>
    </row>
    <row r="23" customFormat="false" ht="15" hidden="false" customHeight="false" outlineLevel="0" collapsed="false">
      <c r="A23" s="4" t="n">
        <v>18</v>
      </c>
      <c r="B23" s="4" t="s">
        <v>184</v>
      </c>
      <c r="C23" s="14" t="n">
        <v>813</v>
      </c>
      <c r="D23" s="14" t="n">
        <v>581</v>
      </c>
      <c r="E23" s="14" t="n">
        <v>109</v>
      </c>
      <c r="F23" s="14" t="n">
        <v>123</v>
      </c>
      <c r="G23" s="32" t="n">
        <f aca="false">C24-C23</f>
        <v>0</v>
      </c>
      <c r="H23" s="32" t="n">
        <f aca="false">C25-C23</f>
        <v>25</v>
      </c>
    </row>
    <row r="24" customFormat="false" ht="15" hidden="false" customHeight="false" outlineLevel="0" collapsed="false">
      <c r="A24" s="4" t="n">
        <v>19</v>
      </c>
      <c r="B24" s="4" t="s">
        <v>185</v>
      </c>
      <c r="C24" s="14" t="n">
        <v>813</v>
      </c>
      <c r="D24" s="14" t="n">
        <v>581</v>
      </c>
      <c r="E24" s="14" t="n">
        <v>109</v>
      </c>
      <c r="F24" s="14" t="n">
        <v>123</v>
      </c>
      <c r="G24" s="32" t="n">
        <f aca="false">C25-C24</f>
        <v>25</v>
      </c>
    </row>
    <row r="25" customFormat="false" ht="15" hidden="false" customHeight="false" outlineLevel="0" collapsed="false">
      <c r="A25" s="4" t="n">
        <v>20</v>
      </c>
      <c r="B25" s="4" t="s">
        <v>186</v>
      </c>
      <c r="C25" s="14" t="n">
        <v>838</v>
      </c>
      <c r="D25" s="14" t="n">
        <v>603</v>
      </c>
      <c r="E25" s="14" t="n">
        <v>109</v>
      </c>
      <c r="F25" s="14" t="n">
        <v>126</v>
      </c>
    </row>
    <row r="26" customFormat="false" ht="15" hidden="false" customHeight="false" outlineLevel="0" collapsed="false">
      <c r="B26" s="7" t="s">
        <v>187</v>
      </c>
    </row>
    <row r="28" customFormat="false" ht="15" hidden="false" customHeight="false" outlineLevel="0" collapsed="false">
      <c r="A28" s="3" t="s">
        <v>188</v>
      </c>
    </row>
    <row r="29" customFormat="false" ht="23.85" hidden="false" customHeight="false" outlineLevel="0" collapsed="false">
      <c r="A29" s="8" t="s">
        <v>189</v>
      </c>
      <c r="B29" s="8" t="s">
        <v>190</v>
      </c>
      <c r="C29" s="8" t="s">
        <v>191</v>
      </c>
      <c r="D29" s="8" t="s">
        <v>192</v>
      </c>
      <c r="E29" s="8" t="s">
        <v>193</v>
      </c>
      <c r="F29" s="8" t="s">
        <v>194</v>
      </c>
      <c r="G29" s="8" t="s">
        <v>195</v>
      </c>
    </row>
    <row r="30" customFormat="false" ht="15" hidden="false" customHeight="false" outlineLevel="0" collapsed="false">
      <c r="A30" s="4" t="n">
        <v>1</v>
      </c>
      <c r="B30" s="4" t="n">
        <v>12</v>
      </c>
      <c r="C30" s="32" t="n">
        <f aca="false">INDEX($C$5:$C$25,B30+A30)</f>
        <v>986</v>
      </c>
      <c r="D30" s="32" t="n">
        <f aca="false">INDEX($C$5:$C$25,B30)</f>
        <v>987</v>
      </c>
      <c r="E30" s="32" t="n">
        <f aca="false">C30-D30</f>
        <v>-1</v>
      </c>
      <c r="F30" s="13" t="n">
        <f aca="false">ABS(E30)/C30</f>
        <v>0.00101419878296146</v>
      </c>
      <c r="G30" s="32" t="n">
        <f aca="false">E30^2</f>
        <v>1</v>
      </c>
    </row>
    <row r="31" customFormat="false" ht="15" hidden="false" customHeight="false" outlineLevel="0" collapsed="false">
      <c r="A31" s="4" t="n">
        <v>1</v>
      </c>
      <c r="B31" s="4" t="n">
        <v>13</v>
      </c>
      <c r="C31" s="32" t="n">
        <f aca="false">INDEX($C$5:$C$25,B31+A31)</f>
        <v>986</v>
      </c>
      <c r="D31" s="32" t="n">
        <f aca="false">INDEX($C$5:$C$25,B31)</f>
        <v>986</v>
      </c>
      <c r="E31" s="32" t="n">
        <f aca="false">C31-D31</f>
        <v>0</v>
      </c>
      <c r="F31" s="13" t="n">
        <f aca="false">ABS(E31)/C31</f>
        <v>0</v>
      </c>
      <c r="G31" s="32" t="n">
        <f aca="false">E31^2</f>
        <v>0</v>
      </c>
    </row>
    <row r="32" customFormat="false" ht="15" hidden="false" customHeight="false" outlineLevel="0" collapsed="false">
      <c r="A32" s="4" t="n">
        <v>1</v>
      </c>
      <c r="B32" s="4" t="n">
        <v>14</v>
      </c>
      <c r="C32" s="32" t="n">
        <f aca="false">INDEX($C$5:$C$25,B32+A32)</f>
        <v>986</v>
      </c>
      <c r="D32" s="32" t="n">
        <f aca="false">INDEX($C$5:$C$25,B32)</f>
        <v>986</v>
      </c>
      <c r="E32" s="32" t="n">
        <f aca="false">C32-D32</f>
        <v>0</v>
      </c>
      <c r="F32" s="13" t="n">
        <f aca="false">ABS(E32)/C32</f>
        <v>0</v>
      </c>
      <c r="G32" s="32" t="n">
        <f aca="false">E32^2</f>
        <v>0</v>
      </c>
    </row>
    <row r="33" customFormat="false" ht="15" hidden="false" customHeight="false" outlineLevel="0" collapsed="false">
      <c r="A33" s="4" t="n">
        <v>1</v>
      </c>
      <c r="B33" s="4" t="n">
        <v>15</v>
      </c>
      <c r="C33" s="32" t="n">
        <f aca="false">INDEX($C$5:$C$25,B33+A33)</f>
        <v>996</v>
      </c>
      <c r="D33" s="32" t="n">
        <f aca="false">INDEX($C$5:$C$25,B33)</f>
        <v>986</v>
      </c>
      <c r="E33" s="32" t="n">
        <f aca="false">C33-D33</f>
        <v>10</v>
      </c>
      <c r="F33" s="13" t="n">
        <f aca="false">ABS(E33)/C33</f>
        <v>0.0100401606425703</v>
      </c>
      <c r="G33" s="32" t="n">
        <f aca="false">E33^2</f>
        <v>100</v>
      </c>
    </row>
    <row r="34" customFormat="false" ht="15" hidden="false" customHeight="false" outlineLevel="0" collapsed="false">
      <c r="A34" s="4" t="n">
        <v>1</v>
      </c>
      <c r="B34" s="4" t="n">
        <v>16</v>
      </c>
      <c r="C34" s="32" t="n">
        <f aca="false">INDEX($C$5:$C$25,B34+A34)</f>
        <v>994</v>
      </c>
      <c r="D34" s="32" t="n">
        <f aca="false">INDEX($C$5:$C$25,B34)</f>
        <v>996</v>
      </c>
      <c r="E34" s="32" t="n">
        <f aca="false">C34-D34</f>
        <v>-2</v>
      </c>
      <c r="F34" s="13" t="n">
        <f aca="false">ABS(E34)/C34</f>
        <v>0.00201207243460765</v>
      </c>
      <c r="G34" s="32" t="n">
        <f aca="false">E34^2</f>
        <v>4</v>
      </c>
    </row>
    <row r="35" customFormat="false" ht="15" hidden="false" customHeight="false" outlineLevel="0" collapsed="false">
      <c r="A35" s="4" t="n">
        <v>1</v>
      </c>
      <c r="B35" s="4" t="n">
        <v>17</v>
      </c>
      <c r="C35" s="32" t="n">
        <f aca="false">INDEX($C$5:$C$25,B35+A35)</f>
        <v>822</v>
      </c>
      <c r="D35" s="32" t="n">
        <f aca="false">INDEX($C$5:$C$25,B35)</f>
        <v>994</v>
      </c>
      <c r="E35" s="32" t="n">
        <f aca="false">C35-D35</f>
        <v>-172</v>
      </c>
      <c r="F35" s="13" t="n">
        <f aca="false">ABS(E35)/C35</f>
        <v>0.209245742092457</v>
      </c>
      <c r="G35" s="32" t="n">
        <f aca="false">E35^2</f>
        <v>29584</v>
      </c>
    </row>
    <row r="36" customFormat="false" ht="15" hidden="false" customHeight="false" outlineLevel="0" collapsed="false">
      <c r="A36" s="4" t="n">
        <v>1</v>
      </c>
      <c r="B36" s="4" t="n">
        <v>18</v>
      </c>
      <c r="C36" s="32" t="n">
        <f aca="false">INDEX($C$5:$C$25,B36+A36)</f>
        <v>813</v>
      </c>
      <c r="D36" s="32" t="n">
        <f aca="false">INDEX($C$5:$C$25,B36)</f>
        <v>822</v>
      </c>
      <c r="E36" s="32" t="n">
        <f aca="false">C36-D36</f>
        <v>-9</v>
      </c>
      <c r="F36" s="13" t="n">
        <f aca="false">ABS(E36)/C36</f>
        <v>0.011070110701107</v>
      </c>
      <c r="G36" s="32" t="n">
        <f aca="false">E36^2</f>
        <v>81</v>
      </c>
    </row>
    <row r="37" customFormat="false" ht="15" hidden="false" customHeight="false" outlineLevel="0" collapsed="false">
      <c r="A37" s="4" t="n">
        <v>1</v>
      </c>
      <c r="B37" s="4" t="n">
        <v>19</v>
      </c>
      <c r="C37" s="32" t="n">
        <f aca="false">INDEX($C$5:$C$25,B37+A37)</f>
        <v>813</v>
      </c>
      <c r="D37" s="32" t="n">
        <f aca="false">INDEX($C$5:$C$25,B37)</f>
        <v>813</v>
      </c>
      <c r="E37" s="32" t="n">
        <f aca="false">C37-D37</f>
        <v>0</v>
      </c>
      <c r="F37" s="13" t="n">
        <f aca="false">ABS(E37)/C37</f>
        <v>0</v>
      </c>
      <c r="G37" s="32" t="n">
        <f aca="false">E37^2</f>
        <v>0</v>
      </c>
    </row>
    <row r="38" customFormat="false" ht="15" hidden="false" customHeight="false" outlineLevel="0" collapsed="false">
      <c r="A38" s="4" t="n">
        <v>1</v>
      </c>
      <c r="B38" s="4" t="n">
        <v>20</v>
      </c>
      <c r="C38" s="32" t="n">
        <f aca="false">INDEX($C$5:$C$25,B38+A38)</f>
        <v>838</v>
      </c>
      <c r="D38" s="32" t="n">
        <f aca="false">INDEX($C$5:$C$25,B38)</f>
        <v>813</v>
      </c>
      <c r="E38" s="32" t="n">
        <f aca="false">C38-D38</f>
        <v>25</v>
      </c>
      <c r="F38" s="13" t="n">
        <f aca="false">ABS(E38)/C38</f>
        <v>0.0298329355608592</v>
      </c>
      <c r="G38" s="32" t="n">
        <f aca="false">E38^2</f>
        <v>625</v>
      </c>
    </row>
    <row r="39" customFormat="false" ht="15" hidden="false" customHeight="false" outlineLevel="0" collapsed="false">
      <c r="A39" s="4" t="n">
        <v>3</v>
      </c>
      <c r="B39" s="4" t="n">
        <v>12</v>
      </c>
      <c r="C39" s="32" t="n">
        <f aca="false">INDEX($C$5:$C$25,B39+A39)</f>
        <v>986</v>
      </c>
      <c r="D39" s="32" t="n">
        <f aca="false">INDEX($C$5:$C$25,B39)</f>
        <v>987</v>
      </c>
      <c r="E39" s="32" t="n">
        <f aca="false">C39-D39</f>
        <v>-1</v>
      </c>
      <c r="F39" s="13" t="n">
        <f aca="false">ABS(E39)/C39</f>
        <v>0.00101419878296146</v>
      </c>
      <c r="G39" s="32" t="n">
        <f aca="false">E39^2</f>
        <v>1</v>
      </c>
    </row>
    <row r="40" customFormat="false" ht="15" hidden="false" customHeight="false" outlineLevel="0" collapsed="false">
      <c r="A40" s="4" t="n">
        <v>3</v>
      </c>
      <c r="B40" s="4" t="n">
        <v>13</v>
      </c>
      <c r="C40" s="32" t="n">
        <f aca="false">INDEX($C$5:$C$25,B40+A40)</f>
        <v>996</v>
      </c>
      <c r="D40" s="32" t="n">
        <f aca="false">INDEX($C$5:$C$25,B40)</f>
        <v>986</v>
      </c>
      <c r="E40" s="32" t="n">
        <f aca="false">C40-D40</f>
        <v>10</v>
      </c>
      <c r="F40" s="13" t="n">
        <f aca="false">ABS(E40)/C40</f>
        <v>0.0100401606425703</v>
      </c>
      <c r="G40" s="32" t="n">
        <f aca="false">E40^2</f>
        <v>100</v>
      </c>
    </row>
    <row r="41" customFormat="false" ht="15" hidden="false" customHeight="false" outlineLevel="0" collapsed="false">
      <c r="A41" s="4" t="n">
        <v>3</v>
      </c>
      <c r="B41" s="4" t="n">
        <v>14</v>
      </c>
      <c r="C41" s="32" t="n">
        <f aca="false">INDEX($C$5:$C$25,B41+A41)</f>
        <v>994</v>
      </c>
      <c r="D41" s="32" t="n">
        <f aca="false">INDEX($C$5:$C$25,B41)</f>
        <v>986</v>
      </c>
      <c r="E41" s="32" t="n">
        <f aca="false">C41-D41</f>
        <v>8</v>
      </c>
      <c r="F41" s="13" t="n">
        <f aca="false">ABS(E41)/C41</f>
        <v>0.00804828973843058</v>
      </c>
      <c r="G41" s="32" t="n">
        <f aca="false">E41^2</f>
        <v>64</v>
      </c>
    </row>
    <row r="42" customFormat="false" ht="15" hidden="false" customHeight="false" outlineLevel="0" collapsed="false">
      <c r="A42" s="4" t="n">
        <v>3</v>
      </c>
      <c r="B42" s="4" t="n">
        <v>15</v>
      </c>
      <c r="C42" s="32" t="n">
        <f aca="false">INDEX($C$5:$C$25,B42+A42)</f>
        <v>822</v>
      </c>
      <c r="D42" s="32" t="n">
        <f aca="false">INDEX($C$5:$C$25,B42)</f>
        <v>986</v>
      </c>
      <c r="E42" s="32" t="n">
        <f aca="false">C42-D42</f>
        <v>-164</v>
      </c>
      <c r="F42" s="13" t="n">
        <f aca="false">ABS(E42)/C42</f>
        <v>0.199513381995134</v>
      </c>
      <c r="G42" s="32" t="n">
        <f aca="false">E42^2</f>
        <v>26896</v>
      </c>
    </row>
    <row r="43" customFormat="false" ht="15" hidden="false" customHeight="false" outlineLevel="0" collapsed="false">
      <c r="A43" s="4" t="n">
        <v>3</v>
      </c>
      <c r="B43" s="4" t="n">
        <v>16</v>
      </c>
      <c r="C43" s="32" t="n">
        <f aca="false">INDEX($C$5:$C$25,B43+A43)</f>
        <v>813</v>
      </c>
      <c r="D43" s="32" t="n">
        <f aca="false">INDEX($C$5:$C$25,B43)</f>
        <v>996</v>
      </c>
      <c r="E43" s="32" t="n">
        <f aca="false">C43-D43</f>
        <v>-183</v>
      </c>
      <c r="F43" s="13" t="n">
        <f aca="false">ABS(E43)/C43</f>
        <v>0.225092250922509</v>
      </c>
      <c r="G43" s="32" t="n">
        <f aca="false">E43^2</f>
        <v>33489</v>
      </c>
    </row>
    <row r="44" customFormat="false" ht="15" hidden="false" customHeight="false" outlineLevel="0" collapsed="false">
      <c r="A44" s="4" t="n">
        <v>3</v>
      </c>
      <c r="B44" s="4" t="n">
        <v>17</v>
      </c>
      <c r="C44" s="32" t="n">
        <f aca="false">INDEX($C$5:$C$25,B44+A44)</f>
        <v>813</v>
      </c>
      <c r="D44" s="32" t="n">
        <f aca="false">INDEX($C$5:$C$25,B44)</f>
        <v>994</v>
      </c>
      <c r="E44" s="32" t="n">
        <f aca="false">C44-D44</f>
        <v>-181</v>
      </c>
      <c r="F44" s="13" t="n">
        <f aca="false">ABS(E44)/C44</f>
        <v>0.222632226322263</v>
      </c>
      <c r="G44" s="32" t="n">
        <f aca="false">E44^2</f>
        <v>32761</v>
      </c>
    </row>
    <row r="45" customFormat="false" ht="15" hidden="false" customHeight="false" outlineLevel="0" collapsed="false">
      <c r="A45" s="4" t="n">
        <v>3</v>
      </c>
      <c r="B45" s="4" t="n">
        <v>18</v>
      </c>
      <c r="C45" s="32" t="n">
        <f aca="false">INDEX($C$5:$C$25,B45+A45)</f>
        <v>838</v>
      </c>
      <c r="D45" s="32" t="n">
        <f aca="false">INDEX($C$5:$C$25,B45)</f>
        <v>822</v>
      </c>
      <c r="E45" s="32" t="n">
        <f aca="false">C45-D45</f>
        <v>16</v>
      </c>
      <c r="F45" s="13" t="n">
        <f aca="false">ABS(E45)/C45</f>
        <v>0.0190930787589499</v>
      </c>
      <c r="G45" s="32" t="n">
        <f aca="false">E45^2</f>
        <v>256</v>
      </c>
    </row>
    <row r="47" customFormat="false" ht="15" hidden="false" customHeight="false" outlineLevel="0" collapsed="false">
      <c r="A47" s="3" t="s">
        <v>196</v>
      </c>
    </row>
    <row r="48" customFormat="false" ht="15" hidden="false" customHeight="false" outlineLevel="0" collapsed="false">
      <c r="A48" s="8" t="s">
        <v>197</v>
      </c>
      <c r="B48" s="8" t="s">
        <v>189</v>
      </c>
      <c r="C48" s="8" t="s">
        <v>198</v>
      </c>
      <c r="D48" s="8" t="s">
        <v>199</v>
      </c>
      <c r="E48" s="8" t="s">
        <v>200</v>
      </c>
      <c r="F48" s="8" t="s">
        <v>201</v>
      </c>
      <c r="G48" s="8" t="s">
        <v>202</v>
      </c>
    </row>
    <row r="49" customFormat="false" ht="15" hidden="false" customHeight="false" outlineLevel="0" collapsed="false">
      <c r="A49" s="3" t="s">
        <v>203</v>
      </c>
      <c r="B49" s="2" t="n">
        <v>1</v>
      </c>
      <c r="C49" s="36" t="n">
        <f aca="false">AVERAGE(F30:F38)</f>
        <v>0.0292461355793959</v>
      </c>
      <c r="D49" s="31" t="n">
        <f aca="false">SQRT(AVERAGE(G30:G38))</f>
        <v>58.1138728895453</v>
      </c>
      <c r="E49" s="31" t="n">
        <f aca="false">SUMPRODUCT(ABS(E30:E38))/COUNT(E30:E38)</f>
        <v>24.3333333333333</v>
      </c>
      <c r="F49" s="32" t="n">
        <f aca="false">COUNT(E30:E38)</f>
        <v>9</v>
      </c>
      <c r="G49" s="2" t="s">
        <v>15</v>
      </c>
    </row>
    <row r="50" customFormat="false" ht="15" hidden="false" customHeight="false" outlineLevel="0" collapsed="false">
      <c r="A50" s="2" t="s">
        <v>204</v>
      </c>
      <c r="B50" s="2" t="n">
        <v>1</v>
      </c>
      <c r="C50" s="42" t="n">
        <v>0.0502537432956456</v>
      </c>
      <c r="D50" s="17" t="n">
        <v>58.621864893989</v>
      </c>
      <c r="E50" s="17" t="n">
        <v>44.0466244277261</v>
      </c>
      <c r="F50" s="14" t="n">
        <v>9</v>
      </c>
      <c r="G50" s="2" t="s">
        <v>205</v>
      </c>
    </row>
    <row r="51" customFormat="false" ht="15" hidden="false" customHeight="false" outlineLevel="0" collapsed="false">
      <c r="A51" s="2" t="s">
        <v>206</v>
      </c>
      <c r="B51" s="2" t="n">
        <v>1</v>
      </c>
      <c r="C51" s="42" t="n">
        <v>0.0292461359370555</v>
      </c>
      <c r="D51" s="17" t="n">
        <v>58.1138729428792</v>
      </c>
      <c r="E51" s="17" t="n">
        <v>24.3333336214225</v>
      </c>
      <c r="F51" s="14" t="n">
        <v>9</v>
      </c>
      <c r="G51" s="2" t="s">
        <v>205</v>
      </c>
    </row>
    <row r="52" customFormat="false" ht="15" hidden="false" customHeight="false" outlineLevel="0" collapsed="false">
      <c r="A52" s="2" t="s">
        <v>207</v>
      </c>
      <c r="B52" s="2" t="n">
        <v>1</v>
      </c>
      <c r="C52" s="42" t="n">
        <v>0.0493862352665302</v>
      </c>
      <c r="D52" s="17" t="n">
        <v>59.1514673590111</v>
      </c>
      <c r="E52" s="17" t="n">
        <v>43.2021192795371</v>
      </c>
      <c r="F52" s="14" t="n">
        <v>9</v>
      </c>
      <c r="G52" s="2" t="s">
        <v>205</v>
      </c>
    </row>
    <row r="53" customFormat="false" ht="15" hidden="false" customHeight="false" outlineLevel="0" collapsed="false">
      <c r="A53" s="2" t="s">
        <v>208</v>
      </c>
      <c r="B53" s="2" t="n">
        <v>1</v>
      </c>
      <c r="C53" s="42" t="n">
        <v>0.0552052807121421</v>
      </c>
      <c r="D53" s="17" t="n">
        <v>72.3629139839263</v>
      </c>
      <c r="E53" s="17" t="n">
        <v>46.0374658496222</v>
      </c>
      <c r="F53" s="14" t="n">
        <v>9</v>
      </c>
      <c r="G53" s="2" t="s">
        <v>205</v>
      </c>
    </row>
    <row r="54" customFormat="false" ht="15" hidden="false" customHeight="false" outlineLevel="0" collapsed="false">
      <c r="A54" s="3" t="s">
        <v>203</v>
      </c>
      <c r="B54" s="2" t="n">
        <v>3</v>
      </c>
      <c r="C54" s="36" t="n">
        <f aca="false">AVERAGE(F39:F45)</f>
        <v>0.0979190838804026</v>
      </c>
      <c r="D54" s="31" t="n">
        <f aca="false">SQRT(AVERAGE(G39:G45))</f>
        <v>115.614507245909</v>
      </c>
      <c r="E54" s="31" t="n">
        <f aca="false">SUMPRODUCT(ABS(E39:E45))/COUNT(E39:E45)</f>
        <v>80.4285714285714</v>
      </c>
      <c r="F54" s="32" t="n">
        <f aca="false">COUNT(E39:E45)</f>
        <v>7</v>
      </c>
      <c r="G54" s="2" t="s">
        <v>15</v>
      </c>
    </row>
    <row r="55" customFormat="false" ht="15" hidden="false" customHeight="false" outlineLevel="0" collapsed="false">
      <c r="A55" s="2" t="s">
        <v>204</v>
      </c>
      <c r="B55" s="2" t="n">
        <v>3</v>
      </c>
      <c r="C55" s="42" t="n">
        <v>0.114823477538912</v>
      </c>
      <c r="D55" s="17" t="n">
        <v>101.769681665964</v>
      </c>
      <c r="E55" s="17" t="n">
        <v>101.194301811634</v>
      </c>
      <c r="F55" s="14" t="n">
        <v>7</v>
      </c>
      <c r="G55" s="2" t="s">
        <v>205</v>
      </c>
    </row>
    <row r="56" customFormat="false" ht="15" hidden="false" customHeight="false" outlineLevel="0" collapsed="false">
      <c r="A56" s="2" t="s">
        <v>206</v>
      </c>
      <c r="B56" s="2" t="n">
        <v>3</v>
      </c>
      <c r="C56" s="42" t="n">
        <v>0.0979190834203938</v>
      </c>
      <c r="D56" s="17" t="n">
        <v>115.614507168024</v>
      </c>
      <c r="E56" s="17" t="n">
        <v>80.42857104327</v>
      </c>
      <c r="F56" s="14" t="n">
        <v>7</v>
      </c>
      <c r="G56" s="2" t="s">
        <v>205</v>
      </c>
    </row>
    <row r="57" customFormat="false" ht="15" hidden="false" customHeight="false" outlineLevel="0" collapsed="false">
      <c r="A57" s="2" t="s">
        <v>207</v>
      </c>
      <c r="B57" s="2" t="n">
        <v>3</v>
      </c>
      <c r="C57" s="42" t="n">
        <v>0.11679909627873</v>
      </c>
      <c r="D57" s="17" t="n">
        <v>103.760516988323</v>
      </c>
      <c r="E57" s="17" t="n">
        <v>102.492475403535</v>
      </c>
      <c r="F57" s="14" t="n">
        <v>7</v>
      </c>
      <c r="G57" s="2" t="s">
        <v>205</v>
      </c>
    </row>
    <row r="58" customFormat="false" ht="15" hidden="false" customHeight="false" outlineLevel="0" collapsed="false">
      <c r="A58" s="2" t="s">
        <v>208</v>
      </c>
      <c r="B58" s="2" t="n">
        <v>3</v>
      </c>
      <c r="C58" s="42" t="n">
        <v>0.122471126925743</v>
      </c>
      <c r="D58" s="17" t="n">
        <v>130.001996798488</v>
      </c>
      <c r="E58" s="17" t="n">
        <v>101.105900036058</v>
      </c>
      <c r="F58" s="14" t="n">
        <v>7</v>
      </c>
      <c r="G58" s="2" t="s">
        <v>205</v>
      </c>
    </row>
    <row r="60" customFormat="false" ht="15" hidden="false" customHeight="false" outlineLevel="0" collapsed="false">
      <c r="A60" s="3" t="s">
        <v>209</v>
      </c>
    </row>
    <row r="61" customFormat="false" ht="15" hidden="false" customHeight="false" outlineLevel="0" collapsed="false">
      <c r="A61" s="8" t="s">
        <v>210</v>
      </c>
      <c r="B61" s="8" t="s">
        <v>189</v>
      </c>
      <c r="C61" s="8" t="s">
        <v>192</v>
      </c>
      <c r="D61" s="8" t="s">
        <v>211</v>
      </c>
      <c r="E61" s="8" t="s">
        <v>212</v>
      </c>
      <c r="F61" s="8" t="s">
        <v>213</v>
      </c>
      <c r="G61" s="8" t="s">
        <v>214</v>
      </c>
    </row>
    <row r="62" customFormat="false" ht="15" hidden="false" customHeight="false" outlineLevel="0" collapsed="false">
      <c r="A62" s="2" t="s">
        <v>215</v>
      </c>
      <c r="B62" s="2" t="n">
        <v>1</v>
      </c>
      <c r="C62" s="32" t="n">
        <f aca="false">$C$25</f>
        <v>838</v>
      </c>
      <c r="D62" s="32" t="n">
        <f aca="false">$C$25+PERCENTILE($G$5:$G$24,0.1)</f>
        <v>676.8</v>
      </c>
      <c r="E62" s="32" t="n">
        <f aca="false">$C$25+PERCENTILE($G$5:$G$24,0.9)</f>
        <v>847.1</v>
      </c>
      <c r="F62" s="32" t="n">
        <f aca="false">$C$25+PERCENTILE($G$5:$G$24,0.025)</f>
        <v>654.975</v>
      </c>
      <c r="G62" s="32" t="n">
        <f aca="false">$C$25+PERCENTILE($G$5:$G$24,0.975)</f>
        <v>855.875</v>
      </c>
    </row>
    <row r="63" customFormat="false" ht="15" hidden="false" customHeight="false" outlineLevel="0" collapsed="false">
      <c r="A63" s="2" t="s">
        <v>216</v>
      </c>
      <c r="B63" s="2" t="n">
        <v>2</v>
      </c>
      <c r="C63" s="32" t="n">
        <f aca="false">$C$25</f>
        <v>838</v>
      </c>
      <c r="D63" s="32" t="n">
        <f aca="false">$C$25+PERCENTILE($H$5:$H$23,0.1)</f>
        <v>654</v>
      </c>
      <c r="E63" s="32" t="n">
        <f aca="false">$C$25+PERCENTILE($H$5:$H$23,0.9)</f>
        <v>847.2</v>
      </c>
      <c r="F63" s="32" t="n">
        <f aca="false">$C$25+PERCENTILE($H$5:$H$23,0.025)</f>
        <v>555.65</v>
      </c>
      <c r="G63" s="32" t="n">
        <f aca="false">$C$25+PERCENTILE($H$5:$H$23,0.975)</f>
        <v>856.25</v>
      </c>
    </row>
    <row r="64" customFormat="false" ht="15" hidden="false" customHeight="false" outlineLevel="0" collapsed="false">
      <c r="A64" s="2" t="s">
        <v>217</v>
      </c>
      <c r="B64" s="2" t="n">
        <v>3</v>
      </c>
      <c r="C64" s="32" t="n">
        <f aca="false">$C$25</f>
        <v>838</v>
      </c>
      <c r="D64" s="32" t="n">
        <f aca="false">$C$25+PERCENTILE($I$5:$I$22,0.1)</f>
        <v>595.5</v>
      </c>
      <c r="E64" s="32" t="n">
        <f aca="false">$C$25+PERCENTILE($I$5:$I$22,0.9)</f>
        <v>847.3</v>
      </c>
      <c r="F64" s="32" t="n">
        <f aca="false">$C$25+PERCENTILE($I$5:$I$22,0.025)</f>
        <v>484.125</v>
      </c>
      <c r="G64" s="32" t="n">
        <f aca="false">$C$25+PERCENTILE($I$5:$I$22,0.975)</f>
        <v>851.45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8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16.15" hidden="false" customHeight="false" outlineLevel="0" collapsed="false">
      <c r="A1" s="1" t="s">
        <v>218</v>
      </c>
    </row>
    <row r="2" customFormat="false" ht="15" hidden="false" customHeight="false" outlineLevel="0" collapsed="false">
      <c r="A2" s="7" t="s">
        <v>219</v>
      </c>
    </row>
    <row r="4" customFormat="false" ht="23.85" hidden="false" customHeight="false" outlineLevel="0" collapsed="false">
      <c r="A4" s="8" t="s">
        <v>220</v>
      </c>
      <c r="B4" s="8" t="s">
        <v>221</v>
      </c>
      <c r="C4" s="8" t="s">
        <v>222</v>
      </c>
      <c r="D4" s="8" t="s">
        <v>223</v>
      </c>
      <c r="E4" s="8" t="s">
        <v>224</v>
      </c>
      <c r="F4" s="8" t="s">
        <v>225</v>
      </c>
    </row>
    <row r="5" customFormat="false" ht="15" hidden="false" customHeight="false" outlineLevel="0" collapsed="false">
      <c r="A5" s="2" t="s">
        <v>226</v>
      </c>
      <c r="B5" s="2" t="s">
        <v>227</v>
      </c>
      <c r="C5" s="43" t="n">
        <v>9.6878593189566</v>
      </c>
      <c r="D5" s="2" t="s">
        <v>228</v>
      </c>
      <c r="E5" s="43" t="n">
        <v>1</v>
      </c>
      <c r="F5" s="19" t="n">
        <f aca="false">C5*E5</f>
        <v>9.6878593189566</v>
      </c>
    </row>
    <row r="6" customFormat="false" ht="15" hidden="false" customHeight="false" outlineLevel="0" collapsed="false">
      <c r="A6" s="2" t="s">
        <v>229</v>
      </c>
      <c r="B6" s="2" t="s">
        <v>230</v>
      </c>
      <c r="C6" s="43" t="n">
        <v>14.3893330842907</v>
      </c>
      <c r="D6" s="2" t="s">
        <v>231</v>
      </c>
      <c r="E6" s="44" t="n">
        <v>0.214812944365293</v>
      </c>
      <c r="F6" s="19" t="n">
        <f aca="false">C6*E6</f>
        <v>3.09101500728941</v>
      </c>
    </row>
    <row r="7" customFormat="false" ht="15" hidden="false" customHeight="false" outlineLevel="0" collapsed="false">
      <c r="A7" s="2" t="s">
        <v>232</v>
      </c>
      <c r="B7" s="2" t="s">
        <v>233</v>
      </c>
      <c r="C7" s="43" t="n">
        <v>3.8871978221251</v>
      </c>
      <c r="D7" s="2" t="s">
        <v>234</v>
      </c>
      <c r="E7" s="44" t="n">
        <v>0.384817577355887</v>
      </c>
      <c r="F7" s="19" t="n">
        <f aca="false">C7*E7</f>
        <v>1.49586204861326</v>
      </c>
    </row>
    <row r="8" customFormat="false" ht="15" hidden="false" customHeight="false" outlineLevel="0" collapsed="false">
      <c r="A8" s="2" t="s">
        <v>235</v>
      </c>
      <c r="B8" s="2" t="s">
        <v>236</v>
      </c>
      <c r="C8" s="43" t="n">
        <v>1.07933278858026</v>
      </c>
      <c r="D8" s="2" t="s">
        <v>237</v>
      </c>
      <c r="E8" s="44" t="n">
        <v>0.541163413958979</v>
      </c>
      <c r="F8" s="19" t="n">
        <f aca="false">C8*E8</f>
        <v>0.58409541666596</v>
      </c>
    </row>
    <row r="9" customFormat="false" ht="15" hidden="false" customHeight="false" outlineLevel="0" collapsed="false">
      <c r="A9" s="2" t="s">
        <v>238</v>
      </c>
      <c r="B9" s="2" t="s">
        <v>239</v>
      </c>
      <c r="C9" s="43" t="n">
        <v>8.08723268388217</v>
      </c>
      <c r="D9" s="2" t="s">
        <v>240</v>
      </c>
      <c r="E9" s="44" t="n">
        <v>0.0302272705009834</v>
      </c>
      <c r="F9" s="19" t="n">
        <f aca="false">C9*E9</f>
        <v>0.2444549699401</v>
      </c>
    </row>
    <row r="10" customFormat="false" ht="15" hidden="false" customHeight="false" outlineLevel="0" collapsed="false">
      <c r="A10" s="2" t="s">
        <v>241</v>
      </c>
      <c r="B10" s="2" t="s">
        <v>242</v>
      </c>
      <c r="C10" s="43" t="n">
        <v>-1.62292812810221</v>
      </c>
      <c r="D10" s="2" t="s">
        <v>243</v>
      </c>
      <c r="E10" s="44" t="n">
        <v>3.32</v>
      </c>
      <c r="F10" s="19" t="n">
        <f aca="false">C10*E10</f>
        <v>-5.38812138529932</v>
      </c>
    </row>
    <row r="11" customFormat="false" ht="15" hidden="false" customHeight="false" outlineLevel="0" collapsed="false">
      <c r="A11" s="2" t="s">
        <v>244</v>
      </c>
      <c r="B11" s="2" t="s">
        <v>245</v>
      </c>
      <c r="C11" s="43" t="n">
        <v>-3.4432703218169</v>
      </c>
      <c r="D11" s="2" t="s">
        <v>246</v>
      </c>
      <c r="E11" s="44" t="n">
        <v>0.215431105787694</v>
      </c>
      <c r="F11" s="19" t="n">
        <f aca="false">C11*E11</f>
        <v>-0.741787532954965</v>
      </c>
    </row>
    <row r="12" customFormat="false" ht="15" hidden="false" customHeight="false" outlineLevel="0" collapsed="false">
      <c r="A12" s="2" t="s">
        <v>247</v>
      </c>
      <c r="B12" s="2" t="s">
        <v>248</v>
      </c>
      <c r="C12" s="43" t="n">
        <v>-4.32515629284045</v>
      </c>
      <c r="D12" s="2" t="s">
        <v>249</v>
      </c>
      <c r="E12" s="44" t="n">
        <v>0.199165775735669</v>
      </c>
      <c r="F12" s="19" t="n">
        <f aca="false">C12*E12</f>
        <v>-0.861423108241576</v>
      </c>
    </row>
    <row r="13" customFormat="false" ht="15" hidden="false" customHeight="false" outlineLevel="0" collapsed="false">
      <c r="A13" s="2" t="s">
        <v>250</v>
      </c>
      <c r="B13" s="2" t="s">
        <v>251</v>
      </c>
      <c r="C13" s="43" t="n">
        <v>-2.76584622742534</v>
      </c>
      <c r="D13" s="2" t="s">
        <v>252</v>
      </c>
      <c r="E13" s="44" t="n">
        <v>0.545632304986407</v>
      </c>
      <c r="F13" s="19" t="n">
        <f aca="false">C13*E13</f>
        <v>-1.50913505230805</v>
      </c>
    </row>
    <row r="14" customFormat="false" ht="15" hidden="false" customHeight="false" outlineLevel="0" collapsed="false">
      <c r="A14" s="2" t="s">
        <v>253</v>
      </c>
      <c r="B14" s="2" t="s">
        <v>254</v>
      </c>
      <c r="C14" s="43" t="n">
        <v>0.461278541497849</v>
      </c>
      <c r="D14" s="2" t="s">
        <v>255</v>
      </c>
      <c r="E14" s="44" t="n">
        <v>11.32</v>
      </c>
      <c r="F14" s="19" t="n">
        <f aca="false">C14*E14</f>
        <v>5.22167308975566</v>
      </c>
    </row>
    <row r="15" customFormat="false" ht="15" hidden="false" customHeight="false" outlineLevel="0" collapsed="false">
      <c r="A15" s="2" t="s">
        <v>256</v>
      </c>
      <c r="B15" s="2" t="s">
        <v>257</v>
      </c>
      <c r="C15" s="43" t="n">
        <v>-2.25905951232675</v>
      </c>
      <c r="D15" s="2" t="s">
        <v>258</v>
      </c>
      <c r="E15" s="44" t="n">
        <v>0.372082666622413</v>
      </c>
      <c r="F15" s="19" t="n">
        <f aca="false">C15*E15</f>
        <v>-0.840556887405265</v>
      </c>
    </row>
    <row r="16" customFormat="false" ht="15" hidden="false" customHeight="false" outlineLevel="0" collapsed="false">
      <c r="A16" s="2" t="s">
        <v>259</v>
      </c>
      <c r="B16" s="2" t="s">
        <v>260</v>
      </c>
      <c r="C16" s="43" t="n">
        <v>0.00966899208657364</v>
      </c>
      <c r="D16" s="2" t="s">
        <v>261</v>
      </c>
      <c r="E16" s="44" t="n">
        <v>1</v>
      </c>
      <c r="F16" s="19" t="n">
        <f aca="false">C16*E16</f>
        <v>0.00966899208657364</v>
      </c>
    </row>
    <row r="17" customFormat="false" ht="15" hidden="false" customHeight="false" outlineLevel="0" collapsed="false">
      <c r="B17" s="3" t="s">
        <v>262</v>
      </c>
      <c r="F17" s="45" t="n">
        <f aca="false">SUM(F5:F16)</f>
        <v>10.9936048770984</v>
      </c>
    </row>
    <row r="18" customFormat="false" ht="15" hidden="false" customHeight="false" outlineLevel="0" collapsed="false">
      <c r="B18" s="2" t="s">
        <v>263</v>
      </c>
      <c r="F18" s="43" t="n">
        <v>0.85220486439224</v>
      </c>
    </row>
    <row r="19" customFormat="false" ht="15" hidden="false" customHeight="false" outlineLevel="0" collapsed="false">
      <c r="B19" s="3" t="s">
        <v>264</v>
      </c>
      <c r="F19" s="45" t="n">
        <f aca="false">MAX(0,F17*F18)</f>
        <v>9.36880355346949</v>
      </c>
    </row>
    <row r="21" customFormat="false" ht="15" hidden="false" customHeight="false" outlineLevel="0" collapsed="false">
      <c r="A21" s="3" t="s">
        <v>265</v>
      </c>
    </row>
    <row r="22" customFormat="false" ht="15" hidden="false" customHeight="false" outlineLevel="0" collapsed="false">
      <c r="A22" s="8" t="s">
        <v>197</v>
      </c>
      <c r="B22" s="8" t="s">
        <v>266</v>
      </c>
      <c r="C22" s="8" t="s">
        <v>267</v>
      </c>
      <c r="D22" s="8" t="s">
        <v>268</v>
      </c>
      <c r="E22" s="8" t="s">
        <v>42</v>
      </c>
      <c r="F22" s="8" t="s">
        <v>269</v>
      </c>
    </row>
    <row r="23" customFormat="false" ht="15" hidden="false" customHeight="false" outlineLevel="0" collapsed="false">
      <c r="A23" s="2" t="s">
        <v>270</v>
      </c>
      <c r="B23" s="2" t="s">
        <v>271</v>
      </c>
      <c r="C23" s="2" t="s">
        <v>272</v>
      </c>
      <c r="D23" s="2" t="s">
        <v>199</v>
      </c>
      <c r="E23" s="43" t="n">
        <v>12.5597137550107</v>
      </c>
      <c r="F23" s="2" t="s">
        <v>273</v>
      </c>
    </row>
    <row r="24" customFormat="false" ht="15" hidden="false" customHeight="false" outlineLevel="0" collapsed="false">
      <c r="A24" s="2" t="s">
        <v>270</v>
      </c>
      <c r="B24" s="2" t="s">
        <v>271</v>
      </c>
      <c r="C24" s="2" t="s">
        <v>272</v>
      </c>
      <c r="D24" s="2" t="s">
        <v>200</v>
      </c>
      <c r="E24" s="43" t="n">
        <v>8.27172290861926</v>
      </c>
      <c r="F24" s="2" t="s">
        <v>273</v>
      </c>
    </row>
    <row r="25" customFormat="false" ht="15" hidden="false" customHeight="false" outlineLevel="0" collapsed="false">
      <c r="A25" s="2" t="s">
        <v>270</v>
      </c>
      <c r="B25" s="2" t="s">
        <v>271</v>
      </c>
      <c r="C25" s="2" t="s">
        <v>272</v>
      </c>
      <c r="D25" s="2" t="s">
        <v>274</v>
      </c>
      <c r="E25" s="43" t="n">
        <v>0.310574709870541</v>
      </c>
      <c r="F25" s="2" t="s">
        <v>273</v>
      </c>
    </row>
    <row r="26" customFormat="false" ht="15" hidden="false" customHeight="false" outlineLevel="0" collapsed="false">
      <c r="A26" s="2" t="s">
        <v>270</v>
      </c>
      <c r="B26" s="2" t="s">
        <v>271</v>
      </c>
      <c r="C26" s="2" t="s">
        <v>275</v>
      </c>
      <c r="D26" s="2" t="s">
        <v>199</v>
      </c>
      <c r="E26" s="43" t="n">
        <v>13.4909966556698</v>
      </c>
      <c r="F26" s="2" t="s">
        <v>273</v>
      </c>
    </row>
    <row r="27" customFormat="false" ht="15" hidden="false" customHeight="false" outlineLevel="0" collapsed="false">
      <c r="A27" s="2" t="s">
        <v>270</v>
      </c>
      <c r="B27" s="2" t="s">
        <v>271</v>
      </c>
      <c r="C27" s="2" t="s">
        <v>275</v>
      </c>
      <c r="D27" s="2" t="s">
        <v>200</v>
      </c>
      <c r="E27" s="43" t="n">
        <v>8.58818208960953</v>
      </c>
      <c r="F27" s="2" t="s">
        <v>273</v>
      </c>
    </row>
    <row r="28" customFormat="false" ht="15" hidden="false" customHeight="false" outlineLevel="0" collapsed="false">
      <c r="A28" s="2" t="s">
        <v>270</v>
      </c>
      <c r="B28" s="2" t="s">
        <v>271</v>
      </c>
      <c r="C28" s="2" t="s">
        <v>275</v>
      </c>
      <c r="D28" s="2" t="s">
        <v>274</v>
      </c>
      <c r="E28" s="43" t="n">
        <v>0.315307864490336</v>
      </c>
      <c r="F28" s="2" t="s">
        <v>273</v>
      </c>
    </row>
    <row r="29" customFormat="false" ht="15" hidden="false" customHeight="false" outlineLevel="0" collapsed="false">
      <c r="A29" s="2" t="s">
        <v>270</v>
      </c>
      <c r="B29" s="2" t="s">
        <v>271</v>
      </c>
      <c r="C29" s="2" t="s">
        <v>276</v>
      </c>
      <c r="D29" s="2" t="s">
        <v>199</v>
      </c>
      <c r="E29" s="43" t="n">
        <v>0.490651138272398</v>
      </c>
      <c r="F29" s="2" t="s">
        <v>273</v>
      </c>
    </row>
    <row r="30" customFormat="false" ht="15" hidden="false" customHeight="false" outlineLevel="0" collapsed="false">
      <c r="A30" s="2" t="s">
        <v>277</v>
      </c>
      <c r="B30" s="2" t="s">
        <v>271</v>
      </c>
      <c r="C30" s="2" t="s">
        <v>272</v>
      </c>
      <c r="D30" s="2" t="s">
        <v>199</v>
      </c>
      <c r="E30" s="43" t="n">
        <v>12.1415440684859</v>
      </c>
      <c r="F30" s="2" t="s">
        <v>278</v>
      </c>
    </row>
    <row r="31" customFormat="false" ht="15" hidden="false" customHeight="false" outlineLevel="0" collapsed="false">
      <c r="A31" s="2" t="s">
        <v>277</v>
      </c>
      <c r="B31" s="2" t="s">
        <v>271</v>
      </c>
      <c r="C31" s="2" t="s">
        <v>272</v>
      </c>
      <c r="D31" s="2" t="s">
        <v>200</v>
      </c>
      <c r="E31" s="43" t="n">
        <v>7.68201770672875</v>
      </c>
      <c r="F31" s="2" t="s">
        <v>278</v>
      </c>
    </row>
    <row r="32" customFormat="false" ht="15" hidden="false" customHeight="false" outlineLevel="0" collapsed="false">
      <c r="A32" s="2" t="s">
        <v>277</v>
      </c>
      <c r="B32" s="2" t="s">
        <v>271</v>
      </c>
      <c r="C32" s="2" t="s">
        <v>272</v>
      </c>
      <c r="D32" s="2" t="s">
        <v>274</v>
      </c>
      <c r="E32" s="43" t="n">
        <v>0.355718637731066</v>
      </c>
      <c r="F32" s="2" t="s">
        <v>278</v>
      </c>
    </row>
    <row r="33" customFormat="false" ht="15" hidden="false" customHeight="false" outlineLevel="0" collapsed="false">
      <c r="A33" s="2" t="s">
        <v>277</v>
      </c>
      <c r="B33" s="2" t="s">
        <v>271</v>
      </c>
      <c r="C33" s="2" t="s">
        <v>275</v>
      </c>
      <c r="D33" s="2" t="s">
        <v>199</v>
      </c>
      <c r="E33" s="43" t="n">
        <v>12.7214252818467</v>
      </c>
      <c r="F33" s="2" t="s">
        <v>278</v>
      </c>
    </row>
    <row r="34" customFormat="false" ht="15" hidden="false" customHeight="false" outlineLevel="0" collapsed="false">
      <c r="A34" s="2" t="s">
        <v>277</v>
      </c>
      <c r="B34" s="2" t="s">
        <v>271</v>
      </c>
      <c r="C34" s="2" t="s">
        <v>275</v>
      </c>
      <c r="D34" s="2" t="s">
        <v>200</v>
      </c>
      <c r="E34" s="43" t="n">
        <v>7.7668513209667</v>
      </c>
      <c r="F34" s="2" t="s">
        <v>278</v>
      </c>
    </row>
    <row r="35" customFormat="false" ht="15" hidden="false" customHeight="false" outlineLevel="0" collapsed="false">
      <c r="A35" s="2" t="s">
        <v>277</v>
      </c>
      <c r="B35" s="2" t="s">
        <v>271</v>
      </c>
      <c r="C35" s="2" t="s">
        <v>275</v>
      </c>
      <c r="D35" s="2" t="s">
        <v>274</v>
      </c>
      <c r="E35" s="43" t="n">
        <v>0.391041750401088</v>
      </c>
      <c r="F35" s="2" t="s">
        <v>278</v>
      </c>
    </row>
    <row r="36" customFormat="false" ht="15" hidden="false" customHeight="false" outlineLevel="0" collapsed="false">
      <c r="A36" s="2" t="s">
        <v>277</v>
      </c>
      <c r="B36" s="2" t="s">
        <v>271</v>
      </c>
      <c r="C36" s="2" t="s">
        <v>276</v>
      </c>
      <c r="D36" s="2" t="s">
        <v>199</v>
      </c>
      <c r="E36" s="43" t="n">
        <v>0.391566730547542</v>
      </c>
      <c r="F36" s="2" t="s">
        <v>278</v>
      </c>
    </row>
    <row r="37" customFormat="false" ht="15" hidden="false" customHeight="false" outlineLevel="0" collapsed="false">
      <c r="A37" s="2" t="s">
        <v>270</v>
      </c>
      <c r="B37" s="2" t="s">
        <v>279</v>
      </c>
      <c r="C37" s="2" t="s">
        <v>280</v>
      </c>
      <c r="D37" s="2" t="s">
        <v>198</v>
      </c>
      <c r="E37" s="42" t="n">
        <v>0.0780205254368471</v>
      </c>
      <c r="F37" s="2" t="s">
        <v>273</v>
      </c>
    </row>
    <row r="38" customFormat="false" ht="15" hidden="false" customHeight="false" outlineLevel="0" collapsed="false">
      <c r="A38" s="2" t="s">
        <v>270</v>
      </c>
      <c r="B38" s="2" t="s">
        <v>279</v>
      </c>
      <c r="C38" s="2" t="s">
        <v>280</v>
      </c>
      <c r="D38" s="2" t="s">
        <v>199</v>
      </c>
      <c r="E38" s="43" t="n">
        <v>1.2318070977818</v>
      </c>
      <c r="F38" s="2" t="s">
        <v>273</v>
      </c>
    </row>
    <row r="39" customFormat="false" ht="15" hidden="false" customHeight="false" outlineLevel="0" collapsed="false">
      <c r="A39" s="2" t="s">
        <v>270</v>
      </c>
      <c r="B39" s="2" t="s">
        <v>279</v>
      </c>
      <c r="C39" s="2" t="s">
        <v>280</v>
      </c>
      <c r="D39" s="2" t="s">
        <v>200</v>
      </c>
      <c r="E39" s="43" t="n">
        <v>0.939776875221061</v>
      </c>
      <c r="F39" s="2" t="s">
        <v>273</v>
      </c>
    </row>
    <row r="40" customFormat="false" ht="15" hidden="false" customHeight="false" outlineLevel="0" collapsed="false">
      <c r="A40" s="2" t="s">
        <v>270</v>
      </c>
      <c r="B40" s="2" t="s">
        <v>279</v>
      </c>
      <c r="C40" s="2" t="s">
        <v>280</v>
      </c>
      <c r="D40" s="2" t="s">
        <v>274</v>
      </c>
      <c r="E40" s="43" t="n">
        <v>0.0879070414530283</v>
      </c>
      <c r="F40" s="2" t="s">
        <v>273</v>
      </c>
    </row>
    <row r="41" customFormat="false" ht="15" hidden="false" customHeight="false" outlineLevel="0" collapsed="false">
      <c r="A41" s="2" t="s">
        <v>281</v>
      </c>
      <c r="B41" s="2" t="s">
        <v>279</v>
      </c>
      <c r="C41" s="2" t="s">
        <v>280</v>
      </c>
      <c r="D41" s="2" t="s">
        <v>198</v>
      </c>
      <c r="E41" s="42" t="n">
        <v>0.505736168162351</v>
      </c>
      <c r="F41" s="2" t="s">
        <v>278</v>
      </c>
    </row>
    <row r="42" customFormat="false" ht="15" hidden="false" customHeight="false" outlineLevel="0" collapsed="false">
      <c r="A42" s="2" t="s">
        <v>281</v>
      </c>
      <c r="B42" s="2" t="s">
        <v>279</v>
      </c>
      <c r="C42" s="2" t="s">
        <v>280</v>
      </c>
      <c r="D42" s="2" t="s">
        <v>199</v>
      </c>
      <c r="E42" s="43" t="n">
        <v>6.59912160433481</v>
      </c>
      <c r="F42" s="2" t="s">
        <v>278</v>
      </c>
    </row>
    <row r="43" customFormat="false" ht="15" hidden="false" customHeight="false" outlineLevel="0" collapsed="false">
      <c r="A43" s="2" t="s">
        <v>281</v>
      </c>
      <c r="B43" s="2" t="s">
        <v>279</v>
      </c>
      <c r="C43" s="2" t="s">
        <v>280</v>
      </c>
      <c r="D43" s="2" t="s">
        <v>200</v>
      </c>
      <c r="E43" s="43" t="n">
        <v>5.87983999919476</v>
      </c>
      <c r="F43" s="2" t="s">
        <v>278</v>
      </c>
    </row>
    <row r="44" customFormat="false" ht="15" hidden="false" customHeight="false" outlineLevel="0" collapsed="false">
      <c r="A44" s="2" t="s">
        <v>281</v>
      </c>
      <c r="B44" s="2" t="s">
        <v>279</v>
      </c>
      <c r="C44" s="2" t="s">
        <v>280</v>
      </c>
      <c r="D44" s="2" t="s">
        <v>274</v>
      </c>
      <c r="E44" s="43" t="n">
        <v>-25.1773669674088</v>
      </c>
      <c r="F44" s="2" t="s">
        <v>278</v>
      </c>
    </row>
    <row r="45" customFormat="false" ht="15" hidden="false" customHeight="false" outlineLevel="0" collapsed="false">
      <c r="A45" s="2" t="s">
        <v>282</v>
      </c>
      <c r="B45" s="2" t="s">
        <v>279</v>
      </c>
      <c r="C45" s="2" t="s">
        <v>280</v>
      </c>
      <c r="D45" s="2" t="s">
        <v>198</v>
      </c>
      <c r="E45" s="42" t="n">
        <v>0.0796502261918068</v>
      </c>
      <c r="F45" s="2" t="s">
        <v>278</v>
      </c>
    </row>
    <row r="46" customFormat="false" ht="15" hidden="false" customHeight="false" outlineLevel="0" collapsed="false">
      <c r="A46" s="2" t="s">
        <v>282</v>
      </c>
      <c r="B46" s="2" t="s">
        <v>279</v>
      </c>
      <c r="C46" s="2" t="s">
        <v>280</v>
      </c>
      <c r="D46" s="2" t="s">
        <v>199</v>
      </c>
      <c r="E46" s="43" t="n">
        <v>1.19647561692687</v>
      </c>
      <c r="F46" s="2" t="s">
        <v>278</v>
      </c>
    </row>
    <row r="47" customFormat="false" ht="15" hidden="false" customHeight="false" outlineLevel="0" collapsed="false">
      <c r="A47" s="2" t="s">
        <v>282</v>
      </c>
      <c r="B47" s="2" t="s">
        <v>279</v>
      </c>
      <c r="C47" s="2" t="s">
        <v>280</v>
      </c>
      <c r="D47" s="2" t="s">
        <v>200</v>
      </c>
      <c r="E47" s="43" t="n">
        <v>0.947702908775926</v>
      </c>
      <c r="F47" s="2" t="s">
        <v>278</v>
      </c>
    </row>
    <row r="48" customFormat="false" ht="15" hidden="false" customHeight="false" outlineLevel="0" collapsed="false">
      <c r="A48" s="2" t="s">
        <v>282</v>
      </c>
      <c r="B48" s="2" t="s">
        <v>279</v>
      </c>
      <c r="C48" s="2" t="s">
        <v>280</v>
      </c>
      <c r="D48" s="2" t="s">
        <v>274</v>
      </c>
      <c r="E48" s="43" t="n">
        <v>0.139479138048443</v>
      </c>
      <c r="F48" s="2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70"/>
  </cols>
  <sheetData>
    <row r="1" customFormat="false" ht="16.15" hidden="false" customHeight="false" outlineLevel="0" collapsed="false">
      <c r="A1" s="1" t="s">
        <v>283</v>
      </c>
    </row>
    <row r="3" customFormat="false" ht="15" hidden="false" customHeight="false" outlineLevel="0" collapsed="false">
      <c r="A3" s="8" t="s">
        <v>284</v>
      </c>
      <c r="B3" s="8" t="s">
        <v>221</v>
      </c>
      <c r="C3" s="8" t="s">
        <v>285</v>
      </c>
      <c r="D3" s="8" t="s">
        <v>286</v>
      </c>
      <c r="E3" s="8" t="s">
        <v>287</v>
      </c>
    </row>
    <row r="4" customFormat="false" ht="57.75" hidden="false" customHeight="true" outlineLevel="0" collapsed="false">
      <c r="A4" s="46" t="s">
        <v>288</v>
      </c>
      <c r="B4" s="46" t="s">
        <v>289</v>
      </c>
      <c r="C4" s="46" t="s">
        <v>290</v>
      </c>
      <c r="D4" s="46" t="s">
        <v>291</v>
      </c>
      <c r="E4" s="46" t="s">
        <v>292</v>
      </c>
    </row>
    <row r="5" customFormat="false" ht="57.75" hidden="false" customHeight="true" outlineLevel="0" collapsed="false">
      <c r="A5" s="46" t="s">
        <v>288</v>
      </c>
      <c r="B5" s="46" t="s">
        <v>293</v>
      </c>
      <c r="C5" s="46" t="s">
        <v>290</v>
      </c>
      <c r="D5" s="46" t="s">
        <v>294</v>
      </c>
      <c r="E5" s="46" t="s">
        <v>295</v>
      </c>
    </row>
    <row r="6" customFormat="false" ht="57.75" hidden="false" customHeight="true" outlineLevel="0" collapsed="false">
      <c r="A6" s="46" t="s">
        <v>296</v>
      </c>
      <c r="B6" s="46" t="s">
        <v>297</v>
      </c>
      <c r="C6" s="46" t="s">
        <v>298</v>
      </c>
      <c r="D6" s="46" t="s">
        <v>294</v>
      </c>
      <c r="E6" s="46" t="s">
        <v>299</v>
      </c>
    </row>
    <row r="7" customFormat="false" ht="57.75" hidden="false" customHeight="true" outlineLevel="0" collapsed="false">
      <c r="A7" s="46" t="s">
        <v>300</v>
      </c>
      <c r="B7" s="46" t="s">
        <v>301</v>
      </c>
      <c r="C7" s="46" t="s">
        <v>290</v>
      </c>
      <c r="D7" s="46" t="s">
        <v>291</v>
      </c>
      <c r="E7" s="46" t="s">
        <v>302</v>
      </c>
    </row>
    <row r="8" customFormat="false" ht="57.75" hidden="false" customHeight="true" outlineLevel="0" collapsed="false">
      <c r="A8" s="46" t="s">
        <v>303</v>
      </c>
      <c r="B8" s="46" t="s">
        <v>304</v>
      </c>
      <c r="C8" s="46" t="s">
        <v>290</v>
      </c>
      <c r="D8" s="46" t="s">
        <v>291</v>
      </c>
      <c r="E8" s="46" t="s">
        <v>305</v>
      </c>
    </row>
    <row r="9" customFormat="false" ht="57.75" hidden="false" customHeight="true" outlineLevel="0" collapsed="false">
      <c r="A9" s="46" t="s">
        <v>306</v>
      </c>
      <c r="B9" s="46" t="s">
        <v>307</v>
      </c>
      <c r="C9" s="46" t="s">
        <v>308</v>
      </c>
      <c r="D9" s="46" t="s">
        <v>291</v>
      </c>
      <c r="E9" s="46" t="s">
        <v>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2026-10-30T03:41:58Z</dcterms:created>
  <dc:creator>openpyxl</dc:creator>
  <dc:description/>
  <dc:language>en-US</dc:language>
  <cp:lastModifiedBy/>
  <dcterms:modified xsi:type="dcterms:W3CDTF">2026-10-30T03:41:58Z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